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agnóstico" sheetId="2" state="visible" r:id="rId4"/>
    <sheet name="Prioridad" sheetId="3" state="visible" r:id="rId5"/>
    <sheet name="Claves VEN" sheetId="4" state="visible" r:id="rId6"/>
    <sheet name="Contingencia" sheetId="5" state="visible" r:id="rId7"/>
    <sheet name="Reparto" sheetId="6" state="visible" r:id="rId8"/>
    <sheet name="Recetas pendi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<sst xmlns="http://schemas.openxmlformats.org/spreadsheetml/2006/main" count="532" uniqueCount="301">
  <si>
    <t xml:space="preserve">Manejo de desabasto de varias claves a la vez</t>
  </si>
  <si>
    <t xml:space="preserve">Gemelo digital CEDIS Hidalgo · Gersain Barron · datos simulados (lunes 26 oct 2026, 14:00)</t>
  </si>
  <si>
    <t xml:space="preserve">Indicador</t>
  </si>
  <si>
    <t xml:space="preserve">Operación normal</t>
  </si>
  <si>
    <t xml:space="preserve">Contingencia</t>
  </si>
  <si>
    <t xml:space="preserve">Diferencia</t>
  </si>
  <si>
    <t xml:space="preserve">Unidades en rojo (de 60)</t>
  </si>
  <si>
    <t xml:space="preserve">Recetas surtidas completas</t>
  </si>
  <si>
    <t xml:space="preserve">Alertas abiertas al CEDIS</t>
  </si>
  <si>
    <t xml:space="preserve">Estado de la red</t>
  </si>
  <si>
    <t xml:space="preserve">Desabasto de red</t>
  </si>
  <si>
    <t xml:space="preserve">Fuente: simulación del gemelo digital (js/supply.js). En operación normal el estado es "de red" porque el CEDIS no tiene clopidogrel ni sulfato ferroso. Valores en azul = capturados de la simulación.</t>
  </si>
  <si>
    <t xml:space="preserve">Componentes construidos (en orden)</t>
  </si>
  <si>
    <t xml:space="preserve">#</t>
  </si>
  <si>
    <t xml:space="preserve">Componente</t>
  </si>
  <si>
    <t xml:space="preserve">Qué hace</t>
  </si>
  <si>
    <t xml:space="preserve">Dónde se ve</t>
  </si>
  <si>
    <t xml:space="preserve">Diagnóstico de desabasto</t>
  </si>
  <si>
    <t xml:space="preserve">Estado de la red (normal / local / de red / contingencia), matriz clave × unidad y acción recomendada por clave.</t>
  </si>
  <si>
    <t xml:space="preserve">Red estatal → pestaña Desabasto</t>
  </si>
  <si>
    <t xml:space="preserve">Prioridad clínica (VEN)</t>
  </si>
  <si>
    <t xml:space="preserve">Clasificación Vital / Esencial / No esencial y puntuación de prioridad para ordenar solicitudes.</t>
  </si>
  <si>
    <t xml:space="preserve">Alertas del mapa, unidad y Urgencias del CEDIS</t>
  </si>
  <si>
    <t xml:space="preserve">Modo contingencia</t>
  </si>
  <si>
    <t xml:space="preserve">Simula desabasto masivo en CEDIS y brote respiratorio; aplica a las tres vistas.</t>
  </si>
  <si>
    <t xml:space="preserve">Botón en pestaña Desabasto</t>
  </si>
  <si>
    <t xml:space="preserve">Solicitud consolidada y reparto</t>
  </si>
  <si>
    <t xml:space="preserve">Una solicitud por unidad; "pendiente en CEDIS" si no hay; reparto que favorece hospitales y vitales; surtido para 7 días.</t>
  </si>
  <si>
    <t xml:space="preserve">Alertas al CEDIS, envíos</t>
  </si>
  <si>
    <t xml:space="preserve">Recetas pendientes y alternativas</t>
  </si>
  <si>
    <t xml:space="preserve">Registro de no surtidas, surtido al llegar con aviso al paciente, cancelación a 10 días, alternativas con existencia.</t>
  </si>
  <si>
    <t xml:space="preserve">Unidad → Recetas pendientes</t>
  </si>
  <si>
    <t xml:space="preserve">Diagnóstico del tipo de desabasto</t>
  </si>
  <si>
    <t xml:space="preserve">Regla aplicada por clave y para toda la red (js/network.js → shortage)</t>
  </si>
  <si>
    <t xml:space="preserve">Tipo</t>
  </si>
  <si>
    <t xml:space="preserve">Criterio</t>
  </si>
  <si>
    <t xml:space="preserve">Causa probable</t>
  </si>
  <si>
    <t xml:space="preserve">Acción recomendada</t>
  </si>
  <si>
    <t xml:space="preserve">Local</t>
  </si>
  <si>
    <t xml:space="preserve">Al menos 1 unidad en cero y no cumple criterio de red.</t>
  </si>
  <si>
    <t xml:space="preserve">Pedido mal calculado o entrega incompleta.</t>
  </si>
  <si>
    <t xml:space="preserve">Transferir desde unidades vecinas (pestaña Redistribución) o reabasto urgente desde CEDIS.</t>
  </si>
  <si>
    <t xml:space="preserve">De red</t>
  </si>
  <si>
    <t xml:space="preserve">CEDIS con menos de 50 % de existencia de la clave, o unidades en cero ≥ máx(3, 20 % de las que la manejan).</t>
  </si>
  <si>
    <t xml:space="preserve">Falta en CEDIS o con el proveedor.</t>
  </si>
  <si>
    <t xml:space="preserve">Escalar a compras (compra emergente u otro proveedor); repartir con prioridad a hospitales y vitales; activar alternativas y surtido para 7 días.</t>
  </si>
  <si>
    <t xml:space="preserve">De red (CEDIS con existencia)</t>
  </si>
  <si>
    <t xml:space="preserve">Muchas unidades en cero pero el CEDIS sí tiene.</t>
  </si>
  <si>
    <t xml:space="preserve">Falla de distribución.</t>
  </si>
  <si>
    <t xml:space="preserve">Revisar pedidos y rutas.</t>
  </si>
  <si>
    <t xml:space="preserve">Riesgo</t>
  </si>
  <si>
    <t xml:space="preserve">Sin unidades en cero, pero alguna bajo mínimo.</t>
  </si>
  <si>
    <t xml:space="preserve">—</t>
  </si>
  <si>
    <t xml:space="preserve">Vigilar.</t>
  </si>
  <si>
    <t xml:space="preserve">Estado de toda la red</t>
  </si>
  <si>
    <t xml:space="preserve">Estado</t>
  </si>
  <si>
    <t xml:space="preserve">≥ 5 claves de red, o ≥ 10 % de las unidades con 3 o más claves en cero.</t>
  </si>
  <si>
    <t xml:space="preserve">Al menos 1 clave de red.</t>
  </si>
  <si>
    <t xml:space="preserve">Desabasto local</t>
  </si>
  <si>
    <t xml:space="preserve">Solo claves locales.</t>
  </si>
  <si>
    <t xml:space="preserve">Normal</t>
  </si>
  <si>
    <t xml:space="preserve">Sin claves en cero.</t>
  </si>
  <si>
    <t xml:space="preserve">Umbrales editables (azul) y verificación con un ejemplo</t>
  </si>
  <si>
    <t xml:space="preserve">Unidades que manejan la clave</t>
  </si>
  <si>
    <t xml:space="preserve">Unidades en cero</t>
  </si>
  <si>
    <t xml:space="preserve">Existencia disponible en CEDIS (fracción)</t>
  </si>
  <si>
    <t xml:space="preserve">Umbral de unidades (fracción)</t>
  </si>
  <si>
    <t xml:space="preserve">Mínimo de unidades</t>
  </si>
  <si>
    <t xml:space="preserve">Diagnóstico</t>
  </si>
  <si>
    <t xml:space="preserve">Puntuación de prioridad de una solicitud</t>
  </si>
  <si>
    <t xml:space="preserve">reqScore en js/supply.js: base (criticidad + pacientes + hospital − alternativa) + días abierta</t>
  </si>
  <si>
    <t xml:space="preserve">Parámetro</t>
  </si>
  <si>
    <t xml:space="preserve">Valor</t>
  </si>
  <si>
    <t xml:space="preserve">Nota</t>
  </si>
  <si>
    <t xml:space="preserve">Peso Vital (V)</t>
  </si>
  <si>
    <t xml:space="preserve">Clasificación VEN (OMS)</t>
  </si>
  <si>
    <t xml:space="preserve">Peso Esencial (E)</t>
  </si>
  <si>
    <t xml:space="preserve">Peso No esencial (N)</t>
  </si>
  <si>
    <t xml:space="preserve">Puntos por pieza de demanda diaria</t>
  </si>
  <si>
    <t xml:space="preserve">Aproxima pacientes afectados</t>
  </si>
  <si>
    <t xml:space="preserve">Tope de puntos por demanda</t>
  </si>
  <si>
    <t xml:space="preserve">Puntos si es hospital</t>
  </si>
  <si>
    <t xml:space="preserve">Resta si hay alternativa en el catálogo</t>
  </si>
  <si>
    <t xml:space="preserve">La sustitución la decide el médico</t>
  </si>
  <si>
    <t xml:space="preserve">Puntos por día abierta</t>
  </si>
  <si>
    <t xml:space="preserve">Tope de puntos por días abierta</t>
  </si>
  <si>
    <t xml:space="preserve">Calculadora de ejemplo (edita las celdas amarillas)</t>
  </si>
  <si>
    <t xml:space="preserve">Clasificación (V/E/N)</t>
  </si>
  <si>
    <t xml:space="preserve">V</t>
  </si>
  <si>
    <t xml:space="preserve">Demanda diaria (piezas)</t>
  </si>
  <si>
    <t xml:space="preserve">¿Es hospital? (1 = sí)</t>
  </si>
  <si>
    <t xml:space="preserve">¿Hay alternativa? (1 = sí)</t>
  </si>
  <si>
    <t xml:space="preserve">Días abierta</t>
  </si>
  <si>
    <t xml:space="preserve">Peso VEN</t>
  </si>
  <si>
    <t xml:space="preserve">Puntos por pacientes afectados</t>
  </si>
  <si>
    <t xml:space="preserve">Base</t>
  </si>
  <si>
    <t xml:space="preserve">Puntuación de prioridad</t>
  </si>
  <si>
    <t xml:space="preserve">Nivel de la solicitud: N1 si la clave es Vital; N2 si es de quirófano/urgencias o tratamiento crónico; N3 en otro caso.</t>
  </si>
  <si>
    <t xml:space="preserve">Clasificación VEN y alternativas de las 60 claves</t>
  </si>
  <si>
    <t xml:space="preserve">Asignada con criterio general: debe validarla un químico o médico antes de usarse en operación real</t>
  </si>
  <si>
    <t xml:space="preserve">Clave CNIS</t>
  </si>
  <si>
    <t xml:space="preserve">Medicamento</t>
  </si>
  <si>
    <t xml:space="preserve">Grupo</t>
  </si>
  <si>
    <t xml:space="preserve">Uso</t>
  </si>
  <si>
    <t xml:space="preserve">VEN</t>
  </si>
  <si>
    <t xml:space="preserve">Red fría</t>
  </si>
  <si>
    <t xml:space="preserve">Controlado</t>
  </si>
  <si>
    <t xml:space="preserve">Alternativas del catálogo</t>
  </si>
  <si>
    <t xml:space="preserve">010.000.0104.00</t>
  </si>
  <si>
    <t xml:space="preserve">Paracetamol 500 mg</t>
  </si>
  <si>
    <t xml:space="preserve">Analgesia</t>
  </si>
  <si>
    <t xml:space="preserve">Farmacia</t>
  </si>
  <si>
    <t xml:space="preserve">E</t>
  </si>
  <si>
    <t xml:space="preserve">Metamizol 500 mg, Ibuprofeno 400 mg</t>
  </si>
  <si>
    <t xml:space="preserve">010.000.0108.00</t>
  </si>
  <si>
    <t xml:space="preserve">Metamizol 500 mg</t>
  </si>
  <si>
    <t xml:space="preserve">N</t>
  </si>
  <si>
    <t xml:space="preserve">Paracetamol 500 mg, Ibuprofeno 400 mg</t>
  </si>
  <si>
    <t xml:space="preserve">010.000.5941.00</t>
  </si>
  <si>
    <t xml:space="preserve">Ibuprofeno 400 mg</t>
  </si>
  <si>
    <t xml:space="preserve">Paracetamol 500 mg, Metamizol 500 mg</t>
  </si>
  <si>
    <t xml:space="preserve">010.000.0101.00</t>
  </si>
  <si>
    <t xml:space="preserve">Ácido acetilsalicílico 500 mg</t>
  </si>
  <si>
    <t xml:space="preserve">010.000.0109.00</t>
  </si>
  <si>
    <t xml:space="preserve">Metamizol 1 g inyectable</t>
  </si>
  <si>
    <t xml:space="preserve">Quirófano</t>
  </si>
  <si>
    <t xml:space="preserve">Ketorolaco 30 mg inyectable</t>
  </si>
  <si>
    <t xml:space="preserve">010.000.3422.00</t>
  </si>
  <si>
    <t xml:space="preserve">040.000.2106.00</t>
  </si>
  <si>
    <t xml:space="preserve">Tramadol 100 mg inyectable</t>
  </si>
  <si>
    <t xml:space="preserve">Sí</t>
  </si>
  <si>
    <t xml:space="preserve">Buprenorfina 0.3 mg inyectable, Morfina 10 mg inyectable</t>
  </si>
  <si>
    <t xml:space="preserve">040.000.4026.00</t>
  </si>
  <si>
    <t xml:space="preserve">Buprenorfina 0.3 mg inyectable</t>
  </si>
  <si>
    <t xml:space="preserve">Tramadol 100 mg inyectable, Morfina 10 mg inyectable</t>
  </si>
  <si>
    <t xml:space="preserve">040.000.2103.00</t>
  </si>
  <si>
    <t xml:space="preserve">Morfina 10 mg inyectable</t>
  </si>
  <si>
    <t xml:space="preserve">Tramadol 100 mg inyectable, Buprenorfina 0.3 mg inyectable</t>
  </si>
  <si>
    <t xml:space="preserve">040.000.0242.00</t>
  </si>
  <si>
    <t xml:space="preserve">Fentanilo 0.5 mg/10 ml</t>
  </si>
  <si>
    <t xml:space="preserve">Anestesia</t>
  </si>
  <si>
    <t xml:space="preserve">010.000.0262.00</t>
  </si>
  <si>
    <t xml:space="preserve">Lidocaína 2 % frasco 50 ml</t>
  </si>
  <si>
    <t xml:space="preserve">010.000.0246.00</t>
  </si>
  <si>
    <t xml:space="preserve">Propofol 200 mg/20 ml</t>
  </si>
  <si>
    <t xml:space="preserve">040.000.2108.00</t>
  </si>
  <si>
    <t xml:space="preserve">Midazolam 5 mg/5 ml</t>
  </si>
  <si>
    <t xml:space="preserve">010.000.0254.00</t>
  </si>
  <si>
    <t xml:space="preserve">Vecuronio 4 mg</t>
  </si>
  <si>
    <t xml:space="preserve">Rocuronio 50 mg</t>
  </si>
  <si>
    <t xml:space="preserve">010.000.4059.00</t>
  </si>
  <si>
    <t xml:space="preserve">010.000.0233.00</t>
  </si>
  <si>
    <t xml:space="preserve">Sevoflurano 250 ml</t>
  </si>
  <si>
    <t xml:space="preserve">010.000.0204.00</t>
  </si>
  <si>
    <t xml:space="preserve">Atropina 1 mg/ml</t>
  </si>
  <si>
    <t xml:space="preserve">010.000.0611.00</t>
  </si>
  <si>
    <t xml:space="preserve">Epinefrina 1 mg/ml</t>
  </si>
  <si>
    <t xml:space="preserve">Cardiología</t>
  </si>
  <si>
    <t xml:space="preserve">010.000.4246.00</t>
  </si>
  <si>
    <t xml:space="preserve">Clopidogrel 75 mg</t>
  </si>
  <si>
    <t xml:space="preserve">010.000.2520.00</t>
  </si>
  <si>
    <t xml:space="preserve">Losartán 50 mg</t>
  </si>
  <si>
    <t xml:space="preserve">Enalapril 10 mg, Captopril 25 mg</t>
  </si>
  <si>
    <t xml:space="preserve">010.000.2501.00</t>
  </si>
  <si>
    <t xml:space="preserve">Enalapril 10 mg</t>
  </si>
  <si>
    <t xml:space="preserve">Losartán 50 mg, Captopril 25 mg</t>
  </si>
  <si>
    <t xml:space="preserve">010.000.0574.00</t>
  </si>
  <si>
    <t xml:space="preserve">Captopril 25 mg</t>
  </si>
  <si>
    <t xml:space="preserve">Losartán 50 mg, Enalapril 10 mg</t>
  </si>
  <si>
    <t xml:space="preserve">010.000.2111.00</t>
  </si>
  <si>
    <t xml:space="preserve">Amlodipino 5 mg</t>
  </si>
  <si>
    <t xml:space="preserve">Nifedipino 10 mg</t>
  </si>
  <si>
    <t xml:space="preserve">010.000.0572.00</t>
  </si>
  <si>
    <t xml:space="preserve">Metoprolol 100 mg</t>
  </si>
  <si>
    <t xml:space="preserve">010.000.0597.00</t>
  </si>
  <si>
    <t xml:space="preserve">010.000.5165.00</t>
  </si>
  <si>
    <t xml:space="preserve">Metformina 850 mg</t>
  </si>
  <si>
    <t xml:space="preserve">Endocrinología</t>
  </si>
  <si>
    <t xml:space="preserve">010.000.1042.00</t>
  </si>
  <si>
    <t xml:space="preserve">Glibenclamida 5 mg</t>
  </si>
  <si>
    <t xml:space="preserve">010.000.1050.00</t>
  </si>
  <si>
    <t xml:space="preserve">Insulina NPH 100 UI/ml</t>
  </si>
  <si>
    <t xml:space="preserve">Insulina glargina</t>
  </si>
  <si>
    <t xml:space="preserve">010.000.1051.00</t>
  </si>
  <si>
    <t xml:space="preserve">Insulina rápida 100 UI/ml</t>
  </si>
  <si>
    <t xml:space="preserve">010.000.4158.00</t>
  </si>
  <si>
    <t xml:space="preserve">010.000.1007.00</t>
  </si>
  <si>
    <t xml:space="preserve">Levotiroxina 100 mcg</t>
  </si>
  <si>
    <t xml:space="preserve">010.000.3432.00</t>
  </si>
  <si>
    <t xml:space="preserve">Dexametasona 0.5 mg</t>
  </si>
  <si>
    <t xml:space="preserve">Prednisona 5 mg</t>
  </si>
  <si>
    <t xml:space="preserve">010.000.0472.00</t>
  </si>
  <si>
    <t xml:space="preserve">010.000.2128.00</t>
  </si>
  <si>
    <t xml:space="preserve">Amoxicilina 500 mg</t>
  </si>
  <si>
    <t xml:space="preserve">Infecciosas</t>
  </si>
  <si>
    <t xml:space="preserve">Amoxicilina suspensión 500 mg/5 ml</t>
  </si>
  <si>
    <t xml:space="preserve">010.000.2127.00</t>
  </si>
  <si>
    <t xml:space="preserve">010.000.4255.00</t>
  </si>
  <si>
    <t xml:space="preserve">Ciprofloxacino 250 mg</t>
  </si>
  <si>
    <t xml:space="preserve">010.000.1903.00</t>
  </si>
  <si>
    <t xml:space="preserve">Trimetoprima/sulfametoxazol 80/400 mg</t>
  </si>
  <si>
    <t xml:space="preserve">010.000.1308.00</t>
  </si>
  <si>
    <t xml:space="preserve">Metronidazol 500 mg</t>
  </si>
  <si>
    <t xml:space="preserve">010.000.1911.00</t>
  </si>
  <si>
    <t xml:space="preserve">Nitrofurantoína 100 mg</t>
  </si>
  <si>
    <t xml:space="preserve">010.000.1937.00</t>
  </si>
  <si>
    <t xml:space="preserve">Ceftriaxona 1 g inyectable</t>
  </si>
  <si>
    <t xml:space="preserve">Cefalotina 1 g inyectable</t>
  </si>
  <si>
    <t xml:space="preserve">010.000.5256.00</t>
  </si>
  <si>
    <t xml:space="preserve">010.000.5186.01</t>
  </si>
  <si>
    <t xml:space="preserve">Omeprazol 20 mg</t>
  </si>
  <si>
    <t xml:space="preserve">Gastroenterología</t>
  </si>
  <si>
    <t xml:space="preserve">010.000.1206.00</t>
  </si>
  <si>
    <t xml:space="preserve">Butilhioscina 10 mg</t>
  </si>
  <si>
    <t xml:space="preserve">010.000.1242.00</t>
  </si>
  <si>
    <t xml:space="preserve">Metoclopramida 10 mg</t>
  </si>
  <si>
    <t xml:space="preserve">010.000.1207.00</t>
  </si>
  <si>
    <t xml:space="preserve">Butilhioscina 20 mg inyectable</t>
  </si>
  <si>
    <t xml:space="preserve">010.000.1241.00</t>
  </si>
  <si>
    <t xml:space="preserve">Metoclopramida 10 mg inyectable</t>
  </si>
  <si>
    <t xml:space="preserve">010.000.0429.00</t>
  </si>
  <si>
    <t xml:space="preserve">Salbutamol aerosol 100 mcg</t>
  </si>
  <si>
    <t xml:space="preserve">Neumología</t>
  </si>
  <si>
    <t xml:space="preserve">010.000.0477.00</t>
  </si>
  <si>
    <t xml:space="preserve">Beclometasona aerosol 50 mcg</t>
  </si>
  <si>
    <t xml:space="preserve">010.000.2463.00</t>
  </si>
  <si>
    <t xml:space="preserve">Ambroxol solución 300 mg/100 ml</t>
  </si>
  <si>
    <t xml:space="preserve">010.000.2144.00</t>
  </si>
  <si>
    <t xml:space="preserve">Loratadina 10 mg</t>
  </si>
  <si>
    <t xml:space="preserve">Inmunoalergia</t>
  </si>
  <si>
    <t xml:space="preserve">Clorfenamina 4 mg</t>
  </si>
  <si>
    <t xml:space="preserve">010.000.0402.00</t>
  </si>
  <si>
    <t xml:space="preserve">010.000.1703.00</t>
  </si>
  <si>
    <t xml:space="preserve">Sulfato ferroso 200 mg</t>
  </si>
  <si>
    <t xml:space="preserve">Hematología</t>
  </si>
  <si>
    <t xml:space="preserve">010.000.1542.00</t>
  </si>
  <si>
    <t xml:space="preserve">Oxitocina 5 UI/ml</t>
  </si>
  <si>
    <t xml:space="preserve">Gineco-obstetricia</t>
  </si>
  <si>
    <t xml:space="preserve">010.000.0622.00</t>
  </si>
  <si>
    <t xml:space="preserve">Heparina 25 000 UI/5 ml</t>
  </si>
  <si>
    <t xml:space="preserve">010.000.2154.00</t>
  </si>
  <si>
    <t xml:space="preserve">Enoxaparina 40 mg</t>
  </si>
  <si>
    <t xml:space="preserve">010.000.3609.00</t>
  </si>
  <si>
    <t xml:space="preserve">Cloruro de sodio 0.9 % 500 ml</t>
  </si>
  <si>
    <t xml:space="preserve">Soluciones</t>
  </si>
  <si>
    <t xml:space="preserve">Solución Hartmann 500 ml</t>
  </si>
  <si>
    <t xml:space="preserve">010.000.3615.00</t>
  </si>
  <si>
    <t xml:space="preserve">010.000.3630.00</t>
  </si>
  <si>
    <t xml:space="preserve">Glucosa 5 % 500 ml</t>
  </si>
  <si>
    <t xml:space="preserve">010.000.3607.00</t>
  </si>
  <si>
    <t xml:space="preserve">Glucosa 50 % 50 ml</t>
  </si>
  <si>
    <t xml:space="preserve">010.000.0524.00</t>
  </si>
  <si>
    <t xml:space="preserve">Cloruro de potasio 1.49 g/10 ml</t>
  </si>
  <si>
    <t xml:space="preserve">Resumen</t>
  </si>
  <si>
    <t xml:space="preserve">Vital</t>
  </si>
  <si>
    <t xml:space="preserve">Esencial</t>
  </si>
  <si>
    <t xml:space="preserve">No esencial</t>
  </si>
  <si>
    <t xml:space="preserve">Total</t>
  </si>
  <si>
    <t xml:space="preserve">Escenario de contingencia (simulación)</t>
  </si>
  <si>
    <t xml:space="preserve">CEDIS sin existencia o con existencia parcial; día 0 = lunes 26 oct 2026. Además: brote respiratorio (temporada × 1.8)</t>
  </si>
  <si>
    <t xml:space="preserve">Existencia en CEDIS</t>
  </si>
  <si>
    <t xml:space="preserve">Desde (día)</t>
  </si>
  <si>
    <t xml:space="preserve">Hasta (día)</t>
  </si>
  <si>
    <t xml:space="preserve">Desde (fecha)</t>
  </si>
  <si>
    <t xml:space="preserve">Hasta (fecha)</t>
  </si>
  <si>
    <t xml:space="preserve">Días de desabasto</t>
  </si>
  <si>
    <t xml:space="preserve">Manejo de la solicitud</t>
  </si>
  <si>
    <t xml:space="preserve">Día 0</t>
  </si>
  <si>
    <t xml:space="preserve">Reparto cuando el CEDIS no alcanza</t>
  </si>
  <si>
    <t xml:space="preserve">Fracción surtida = MIN(1, existencia CEDIS × factor de unidad × factor VEN)  (orderLines en js/supply.js)</t>
  </si>
  <si>
    <t xml:space="preserve">Factor hospital</t>
  </si>
  <si>
    <t xml:space="preserve">Factor primer nivel</t>
  </si>
  <si>
    <t xml:space="preserve">Factor Vital</t>
  </si>
  <si>
    <t xml:space="preserve">Factor Esencial</t>
  </si>
  <si>
    <t xml:space="preserve">Factor No esencial</t>
  </si>
  <si>
    <t xml:space="preserve">Fracción surtida según existencia del CEDIS</t>
  </si>
  <si>
    <t xml:space="preserve">Existencia CEDIS</t>
  </si>
  <si>
    <t xml:space="preserve">Hospital · Vital</t>
  </si>
  <si>
    <t xml:space="preserve">Hospital · Esencial</t>
  </si>
  <si>
    <t xml:space="preserve">Hospital · No esencial</t>
  </si>
  <si>
    <t xml:space="preserve">Primer nivel · Vital</t>
  </si>
  <si>
    <t xml:space="preserve">Primer nivel · Esencial</t>
  </si>
  <si>
    <t xml:space="preserve">Primer nivel · No esencial</t>
  </si>
  <si>
    <t xml:space="preserve">En contingencia, las recetas de claves en desabasto se surten para 7 días (1 caja en lugar de 2) y se completan después.</t>
  </si>
  <si>
    <t xml:space="preserve">Reglas aplicadas en la simulación de cada unidad</t>
  </si>
  <si>
    <t xml:space="preserve">Regla</t>
  </si>
  <si>
    <t xml:space="preserve">Detalle</t>
  </si>
  <si>
    <t xml:space="preserve">Registro</t>
  </si>
  <si>
    <t xml:space="preserve">Toda línea de receta no surtida (o surtida parcialmente) queda como receta pendiente con folio, paciente y consultorio.</t>
  </si>
  <si>
    <t xml:space="preserve">Surtido al llegar</t>
  </si>
  <si>
    <t xml:space="preserve">Cuando llega medicamento (entrega ordinaria o urgente) se surten primero las pendientes más antiguas.</t>
  </si>
  <si>
    <t xml:space="preserve">Aviso al paciente</t>
  </si>
  <si>
    <t xml:space="preserve">Al completarse se registra la hora de aviso; el paciente puede recoger en ventanilla.</t>
  </si>
  <si>
    <t xml:space="preserve">Cancelación</t>
  </si>
  <si>
    <t xml:space="preserve">Pendientes con más de 10 días se cancelan (el paciente regresa a consulta).</t>
  </si>
  <si>
    <t xml:space="preserve">Indicadores</t>
  </si>
  <si>
    <t xml:space="preserve">Recetas pendientes de surtir, avisadas hoy y espera promedio.</t>
  </si>
  <si>
    <t xml:space="preserve">Alternativas</t>
  </si>
  <si>
    <t xml:space="preserve">Se muestran las alternativas del catálogo con existencia en la unidad. La decisión de sustituir es del médico.</t>
  </si>
  <si>
    <t xml:space="preserve">Ejemplo (contingencia)</t>
  </si>
  <si>
    <t xml:space="preserve">HGZMF 1 Pachuca llega a 566 recetas pendientes: tamaño del problema con 12 días sin metformina, no falla del sistema.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</si>
</sst>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+0;\-0;0"/>
    <numFmt numFmtId="166" formatCode="0%"/>
    <numFmt numFmtId="167" formatCode="\+0%;\-0%;0%"/>
    <numFmt numFmtId="168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7CC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ont>
        <name val="Arial"/>
        <charset val="1"/>
        <family val="0"/>
        <b val="1"/>
        <color rgb="FFB91C1C"/>
      </font>
      <fill>
        <patternFill>
          <bgColor rgb="FFFEE2E2"/>
        </patternFill>
      </fill>
    </dxf>
    <dxf>
      <font>
        <name val="Arial"/>
        <charset val="1"/>
        <family val="0"/>
        <color rgb="FF64748B"/>
      </font>
      <fill>
        <patternFill>
          <bgColor rgb="FFF1F5F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7CC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avesVEN" displayName="ClavesVEN" ref="A4:H64" headerRowCount="1" totalsRowCount="0" totalsRowShown="0">
  <autoFilter ref="A4:H64"/>
  <tableColumns count="8">
    <tableColumn id="1" name="Clave CNIS"/>
    <tableColumn id="2" name="Medicamento"/>
    <tableColumn id="3" name="Grupo"/>
    <tableColumn id="4" name="Uso"/>
    <tableColumn id="5" name="VEN"/>
    <tableColumn id="6" name="Red fría"/>
    <tableColumn id="7" name="Controlado"/>
    <tableColumn id="8" name="Alternativas del catálog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0</v>
      </c>
      <c r="C5" s="5" t="n">
        <v>55</v>
      </c>
      <c r="D5" s="6" t="n">
        <f aca="false">C5-B5</f>
        <v>55</v>
      </c>
    </row>
    <row r="6" customFormat="false" ht="15" hidden="false" customHeight="false" outlineLevel="0" collapsed="false">
      <c r="A6" s="4" t="s">
        <v>7</v>
      </c>
      <c r="B6" s="7" t="n">
        <v>0.99</v>
      </c>
      <c r="C6" s="7" t="n">
        <v>0.74</v>
      </c>
      <c r="D6" s="8" t="n">
        <f aca="false">C6-B6</f>
        <v>-0.25</v>
      </c>
    </row>
    <row r="7" customFormat="false" ht="15" hidden="false" customHeight="false" outlineLevel="0" collapsed="false">
      <c r="A7" s="4" t="s">
        <v>8</v>
      </c>
      <c r="B7" s="5" t="n">
        <v>12</v>
      </c>
      <c r="C7" s="5" t="n">
        <v>170</v>
      </c>
      <c r="D7" s="6" t="n">
        <f aca="false">C7-B7</f>
        <v>158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4</v>
      </c>
      <c r="D8" s="4"/>
    </row>
    <row r="9" customFormat="false" ht="30" hidden="false" customHeight="true" outlineLevel="0" collapsed="false">
      <c r="A9" s="9" t="s">
        <v>11</v>
      </c>
      <c r="B9" s="9"/>
      <c r="C9" s="9"/>
      <c r="D9" s="9"/>
    </row>
    <row r="11" customFormat="false" ht="15" hidden="false" customHeight="false" outlineLevel="0" collapsed="false">
      <c r="A11" s="10" t="s">
        <v>12</v>
      </c>
    </row>
    <row r="12" customFormat="false" ht="15" hidden="false" customHeight="false" outlineLevel="0" collapsed="false">
      <c r="A12" s="11" t="s">
        <v>13</v>
      </c>
      <c r="B12" s="11" t="s">
        <v>14</v>
      </c>
      <c r="C12" s="11" t="s">
        <v>15</v>
      </c>
      <c r="D12" s="11" t="s">
        <v>16</v>
      </c>
    </row>
    <row r="13" customFormat="false" ht="45" hidden="false" customHeight="true" outlineLevel="0" collapsed="false">
      <c r="A13" s="12" t="n">
        <v>1</v>
      </c>
      <c r="B13" s="12" t="s">
        <v>17</v>
      </c>
      <c r="C13" s="12" t="s">
        <v>18</v>
      </c>
      <c r="D13" s="12" t="s">
        <v>19</v>
      </c>
    </row>
    <row r="14" customFormat="false" ht="45" hidden="false" customHeight="true" outlineLevel="0" collapsed="false">
      <c r="A14" s="12" t="n">
        <v>2</v>
      </c>
      <c r="B14" s="12" t="s">
        <v>20</v>
      </c>
      <c r="C14" s="12" t="s">
        <v>21</v>
      </c>
      <c r="D14" s="12" t="s">
        <v>22</v>
      </c>
    </row>
    <row r="15" customFormat="false" ht="45" hidden="false" customHeight="true" outlineLevel="0" collapsed="false">
      <c r="A15" s="12" t="n">
        <v>3</v>
      </c>
      <c r="B15" s="12" t="s">
        <v>23</v>
      </c>
      <c r="C15" s="12" t="s">
        <v>24</v>
      </c>
      <c r="D15" s="12" t="s">
        <v>25</v>
      </c>
    </row>
    <row r="16" customFormat="false" ht="45" hidden="false" customHeight="true" outlineLevel="0" collapsed="false">
      <c r="A16" s="12" t="n">
        <v>4</v>
      </c>
      <c r="B16" s="12" t="s">
        <v>26</v>
      </c>
      <c r="C16" s="12" t="s">
        <v>27</v>
      </c>
      <c r="D16" s="12" t="s">
        <v>28</v>
      </c>
    </row>
    <row r="17" customFormat="false" ht="45" hidden="false" customHeight="true" outlineLevel="0" collapsed="false">
      <c r="A17" s="12" t="n">
        <v>5</v>
      </c>
      <c r="B17" s="12" t="s">
        <v>29</v>
      </c>
      <c r="C17" s="12" t="s">
        <v>30</v>
      </c>
      <c r="D17" s="12" t="s">
        <v>31</v>
      </c>
    </row>
  </sheetData>
  <mergeCells count="1"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3" t="s">
        <v>34</v>
      </c>
      <c r="B4" s="3" t="s">
        <v>35</v>
      </c>
      <c r="C4" s="3" t="s">
        <v>36</v>
      </c>
      <c r="D4" s="3" t="s">
        <v>37</v>
      </c>
    </row>
    <row r="5" customFormat="false" ht="23.85" hidden="false" customHeight="false" outlineLevel="0" collapsed="false">
      <c r="A5" s="12" t="s">
        <v>38</v>
      </c>
      <c r="B5" s="12" t="s">
        <v>39</v>
      </c>
      <c r="C5" s="12" t="s">
        <v>40</v>
      </c>
      <c r="D5" s="12" t="s">
        <v>41</v>
      </c>
    </row>
    <row r="6" customFormat="false" ht="23.85" hidden="false" customHeight="false" outlineLevel="0" collapsed="false">
      <c r="A6" s="12" t="s">
        <v>42</v>
      </c>
      <c r="B6" s="12" t="s">
        <v>43</v>
      </c>
      <c r="C6" s="12" t="s">
        <v>44</v>
      </c>
      <c r="D6" s="12" t="s">
        <v>45</v>
      </c>
    </row>
    <row r="7" customFormat="false" ht="23.85" hidden="false" customHeight="false" outlineLevel="0" collapsed="false">
      <c r="A7" s="12" t="s">
        <v>46</v>
      </c>
      <c r="B7" s="12" t="s">
        <v>47</v>
      </c>
      <c r="C7" s="12" t="s">
        <v>48</v>
      </c>
      <c r="D7" s="12" t="s">
        <v>49</v>
      </c>
    </row>
    <row r="8" customFormat="false" ht="15" hidden="false" customHeight="false" outlineLevel="0" collapsed="false">
      <c r="A8" s="12" t="s">
        <v>50</v>
      </c>
      <c r="B8" s="12" t="s">
        <v>51</v>
      </c>
      <c r="C8" s="12" t="s">
        <v>52</v>
      </c>
      <c r="D8" s="12" t="s">
        <v>53</v>
      </c>
    </row>
    <row r="10" customFormat="false" ht="15" hidden="false" customHeight="false" outlineLevel="0" collapsed="false">
      <c r="A10" s="10" t="s">
        <v>54</v>
      </c>
    </row>
    <row r="11" customFormat="false" ht="15" hidden="false" customHeight="false" outlineLevel="0" collapsed="false">
      <c r="A11" s="11" t="s">
        <v>55</v>
      </c>
      <c r="B11" s="11" t="s">
        <v>35</v>
      </c>
      <c r="C11" s="11"/>
      <c r="D11" s="11"/>
    </row>
    <row r="12" customFormat="false" ht="23.85" hidden="false" customHeight="false" outlineLevel="0" collapsed="false">
      <c r="A12" s="12" t="s">
        <v>4</v>
      </c>
      <c r="B12" s="12" t="s">
        <v>56</v>
      </c>
      <c r="C12" s="12"/>
      <c r="D12" s="12"/>
    </row>
    <row r="13" customFormat="false" ht="15" hidden="false" customHeight="false" outlineLevel="0" collapsed="false">
      <c r="A13" s="12" t="s">
        <v>10</v>
      </c>
      <c r="B13" s="12" t="s">
        <v>57</v>
      </c>
      <c r="C13" s="12"/>
      <c r="D13" s="12"/>
    </row>
    <row r="14" customFormat="false" ht="15" hidden="false" customHeight="false" outlineLevel="0" collapsed="false">
      <c r="A14" s="12" t="s">
        <v>58</v>
      </c>
      <c r="B14" s="12" t="s">
        <v>59</v>
      </c>
      <c r="C14" s="12"/>
      <c r="D14" s="12"/>
    </row>
    <row r="15" customFormat="false" ht="15" hidden="false" customHeight="false" outlineLevel="0" collapsed="false">
      <c r="A15" s="12" t="s">
        <v>60</v>
      </c>
      <c r="B15" s="12" t="s">
        <v>61</v>
      </c>
      <c r="C15" s="12"/>
      <c r="D15" s="12"/>
    </row>
    <row r="17" customFormat="false" ht="15" hidden="false" customHeight="false" outlineLevel="0" collapsed="false">
      <c r="A17" s="10" t="s">
        <v>62</v>
      </c>
    </row>
    <row r="18" customFormat="false" ht="15" hidden="false" customHeight="false" outlineLevel="0" collapsed="false">
      <c r="A18" s="4" t="s">
        <v>63</v>
      </c>
      <c r="B18" s="13" t="n">
        <v>60</v>
      </c>
    </row>
    <row r="19" customFormat="false" ht="15" hidden="false" customHeight="false" outlineLevel="0" collapsed="false">
      <c r="A19" s="4" t="s">
        <v>64</v>
      </c>
      <c r="B19" s="13" t="n">
        <v>4</v>
      </c>
    </row>
    <row r="20" customFormat="false" ht="15" hidden="false" customHeight="false" outlineLevel="0" collapsed="false">
      <c r="A20" s="4" t="s">
        <v>65</v>
      </c>
      <c r="B20" s="14" t="n">
        <v>1</v>
      </c>
    </row>
    <row r="21" customFormat="false" ht="15" hidden="false" customHeight="false" outlineLevel="0" collapsed="false">
      <c r="A21" s="4" t="s">
        <v>66</v>
      </c>
      <c r="B21" s="14" t="n">
        <v>0.2</v>
      </c>
    </row>
    <row r="22" customFormat="false" ht="15" hidden="false" customHeight="false" outlineLevel="0" collapsed="false">
      <c r="A22" s="4" t="s">
        <v>67</v>
      </c>
      <c r="B22" s="13" t="n">
        <v>3</v>
      </c>
    </row>
    <row r="23" customFormat="false" ht="15" hidden="false" customHeight="false" outlineLevel="0" collapsed="false">
      <c r="A23" s="4" t="s">
        <v>68</v>
      </c>
      <c r="B23" s="15" t="str">
        <f aca="false">IF(OR(B20&lt;0.5,B19&gt;=MAX(B22,B21*B18)),"De red",IF(B19&gt;=1,"Local","Riesgo"))</f>
        <v>Local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3" t="s">
        <v>71</v>
      </c>
      <c r="B4" s="3" t="s">
        <v>72</v>
      </c>
      <c r="C4" s="3" t="s">
        <v>73</v>
      </c>
    </row>
    <row r="5" customFormat="false" ht="15" hidden="false" customHeight="false" outlineLevel="0" collapsed="false">
      <c r="A5" s="4" t="s">
        <v>74</v>
      </c>
      <c r="B5" s="13" t="n">
        <v>50</v>
      </c>
      <c r="C5" s="16" t="s">
        <v>75</v>
      </c>
    </row>
    <row r="6" customFormat="false" ht="15" hidden="false" customHeight="false" outlineLevel="0" collapsed="false">
      <c r="A6" s="4" t="s">
        <v>76</v>
      </c>
      <c r="B6" s="13" t="n">
        <v>25</v>
      </c>
      <c r="C6" s="16"/>
    </row>
    <row r="7" customFormat="false" ht="15" hidden="false" customHeight="false" outlineLevel="0" collapsed="false">
      <c r="A7" s="4" t="s">
        <v>77</v>
      </c>
      <c r="B7" s="13" t="n">
        <v>8</v>
      </c>
      <c r="C7" s="16"/>
    </row>
    <row r="8" customFormat="false" ht="15" hidden="false" customHeight="false" outlineLevel="0" collapsed="false">
      <c r="A8" s="4" t="s">
        <v>78</v>
      </c>
      <c r="B8" s="13" t="n">
        <v>2</v>
      </c>
      <c r="C8" s="16" t="s">
        <v>79</v>
      </c>
    </row>
    <row r="9" customFormat="false" ht="15" hidden="false" customHeight="false" outlineLevel="0" collapsed="false">
      <c r="A9" s="4" t="s">
        <v>80</v>
      </c>
      <c r="B9" s="13" t="n">
        <v>25</v>
      </c>
      <c r="C9" s="16"/>
    </row>
    <row r="10" customFormat="false" ht="15" hidden="false" customHeight="false" outlineLevel="0" collapsed="false">
      <c r="A10" s="4" t="s">
        <v>81</v>
      </c>
      <c r="B10" s="13" t="n">
        <v>10</v>
      </c>
      <c r="C10" s="16"/>
    </row>
    <row r="11" customFormat="false" ht="15" hidden="false" customHeight="false" outlineLevel="0" collapsed="false">
      <c r="A11" s="4" t="s">
        <v>82</v>
      </c>
      <c r="B11" s="13" t="n">
        <v>6</v>
      </c>
      <c r="C11" s="16" t="s">
        <v>83</v>
      </c>
    </row>
    <row r="12" customFormat="false" ht="15" hidden="false" customHeight="false" outlineLevel="0" collapsed="false">
      <c r="A12" s="4" t="s">
        <v>84</v>
      </c>
      <c r="B12" s="13" t="n">
        <v>4</v>
      </c>
      <c r="C12" s="16"/>
    </row>
    <row r="13" customFormat="false" ht="15" hidden="false" customHeight="false" outlineLevel="0" collapsed="false">
      <c r="A13" s="4" t="s">
        <v>85</v>
      </c>
      <c r="B13" s="13" t="n">
        <v>20</v>
      </c>
      <c r="C13" s="16"/>
    </row>
    <row r="15" customFormat="false" ht="15" hidden="false" customHeight="false" outlineLevel="0" collapsed="false">
      <c r="A15" s="10" t="s">
        <v>86</v>
      </c>
    </row>
    <row r="16" customFormat="false" ht="15" hidden="false" customHeight="false" outlineLevel="0" collapsed="false">
      <c r="A16" s="4" t="s">
        <v>87</v>
      </c>
      <c r="B16" s="13" t="s">
        <v>88</v>
      </c>
    </row>
    <row r="17" customFormat="false" ht="15" hidden="false" customHeight="false" outlineLevel="0" collapsed="false">
      <c r="A17" s="4" t="s">
        <v>89</v>
      </c>
      <c r="B17" s="13" t="n">
        <v>18</v>
      </c>
    </row>
    <row r="18" customFormat="false" ht="15" hidden="false" customHeight="false" outlineLevel="0" collapsed="false">
      <c r="A18" s="4" t="s">
        <v>90</v>
      </c>
      <c r="B18" s="13" t="n">
        <v>1</v>
      </c>
    </row>
    <row r="19" customFormat="false" ht="15" hidden="false" customHeight="false" outlineLevel="0" collapsed="false">
      <c r="A19" s="4" t="s">
        <v>91</v>
      </c>
      <c r="B19" s="13" t="n">
        <v>0</v>
      </c>
    </row>
    <row r="20" customFormat="false" ht="15" hidden="false" customHeight="false" outlineLevel="0" collapsed="false">
      <c r="A20" s="4" t="s">
        <v>92</v>
      </c>
      <c r="B20" s="13" t="n">
        <v>2.5</v>
      </c>
    </row>
    <row r="21" customFormat="false" ht="15" hidden="false" customHeight="false" outlineLevel="0" collapsed="false">
      <c r="A21" s="4" t="s">
        <v>93</v>
      </c>
      <c r="B21" s="4" t="n">
        <f aca="false">IF(B16="V",B5,IF(B16="E",B6,B7))</f>
        <v>50</v>
      </c>
    </row>
    <row r="22" customFormat="false" ht="15" hidden="false" customHeight="false" outlineLevel="0" collapsed="false">
      <c r="A22" s="4" t="s">
        <v>94</v>
      </c>
      <c r="B22" s="4" t="n">
        <f aca="false">MIN(B9,B8*B17)</f>
        <v>25</v>
      </c>
    </row>
    <row r="23" customFormat="false" ht="15" hidden="false" customHeight="false" outlineLevel="0" collapsed="false">
      <c r="A23" s="4" t="s">
        <v>95</v>
      </c>
      <c r="B23" s="4" t="n">
        <f aca="false">B21+B22+IF(B18=1,B10,0)-IF(B19=1,B11,0)</f>
        <v>85</v>
      </c>
    </row>
    <row r="24" customFormat="false" ht="15" hidden="false" customHeight="false" outlineLevel="0" collapsed="false">
      <c r="A24" s="15" t="s">
        <v>96</v>
      </c>
      <c r="B24" s="15" t="n">
        <f aca="false">ROUND(B23+MIN(B13,B12*B20),0)</f>
        <v>95</v>
      </c>
    </row>
    <row r="26" customFormat="false" ht="15" hidden="false" customHeight="false" outlineLevel="0" collapsed="false">
      <c r="A26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23.85" hidden="false" customHeight="false" outlineLevel="0" collapsed="false">
      <c r="A4" s="3" t="s">
        <v>100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  <c r="G4" s="3" t="s">
        <v>106</v>
      </c>
      <c r="H4" s="3" t="s">
        <v>107</v>
      </c>
    </row>
    <row r="5" customFormat="false" ht="15" hidden="false" customHeight="false" outlineLevel="0" collapsed="false">
      <c r="A5" s="12" t="s">
        <v>108</v>
      </c>
      <c r="B5" s="12" t="s">
        <v>109</v>
      </c>
      <c r="C5" s="12" t="s">
        <v>110</v>
      </c>
      <c r="D5" s="12" t="s">
        <v>111</v>
      </c>
      <c r="E5" s="17" t="s">
        <v>112</v>
      </c>
      <c r="F5" s="12"/>
      <c r="G5" s="12"/>
      <c r="H5" s="12" t="s">
        <v>113</v>
      </c>
    </row>
    <row r="6" customFormat="false" ht="15" hidden="false" customHeight="false" outlineLevel="0" collapsed="false">
      <c r="A6" s="12" t="s">
        <v>114</v>
      </c>
      <c r="B6" s="12" t="s">
        <v>115</v>
      </c>
      <c r="C6" s="12" t="s">
        <v>110</v>
      </c>
      <c r="D6" s="12" t="s">
        <v>111</v>
      </c>
      <c r="E6" s="17" t="s">
        <v>116</v>
      </c>
      <c r="F6" s="12"/>
      <c r="G6" s="12"/>
      <c r="H6" s="12" t="s">
        <v>117</v>
      </c>
    </row>
    <row r="7" customFormat="false" ht="15" hidden="false" customHeight="false" outlineLevel="0" collapsed="false">
      <c r="A7" s="12" t="s">
        <v>118</v>
      </c>
      <c r="B7" s="12" t="s">
        <v>119</v>
      </c>
      <c r="C7" s="12" t="s">
        <v>110</v>
      </c>
      <c r="D7" s="12" t="s">
        <v>111</v>
      </c>
      <c r="E7" s="17" t="s">
        <v>116</v>
      </c>
      <c r="F7" s="12"/>
      <c r="G7" s="12"/>
      <c r="H7" s="12" t="s">
        <v>120</v>
      </c>
    </row>
    <row r="8" customFormat="false" ht="15" hidden="false" customHeight="false" outlineLevel="0" collapsed="false">
      <c r="A8" s="12" t="s">
        <v>121</v>
      </c>
      <c r="B8" s="12" t="s">
        <v>122</v>
      </c>
      <c r="C8" s="12" t="s">
        <v>110</v>
      </c>
      <c r="D8" s="12" t="s">
        <v>111</v>
      </c>
      <c r="E8" s="17" t="s">
        <v>112</v>
      </c>
      <c r="F8" s="12"/>
      <c r="G8" s="12"/>
      <c r="H8" s="12"/>
    </row>
    <row r="9" customFormat="false" ht="15" hidden="false" customHeight="false" outlineLevel="0" collapsed="false">
      <c r="A9" s="12" t="s">
        <v>123</v>
      </c>
      <c r="B9" s="12" t="s">
        <v>124</v>
      </c>
      <c r="C9" s="12" t="s">
        <v>110</v>
      </c>
      <c r="D9" s="12" t="s">
        <v>125</v>
      </c>
      <c r="E9" s="17" t="s">
        <v>116</v>
      </c>
      <c r="F9" s="12"/>
      <c r="G9" s="12"/>
      <c r="H9" s="12" t="s">
        <v>126</v>
      </c>
    </row>
    <row r="10" customFormat="false" ht="15" hidden="false" customHeight="false" outlineLevel="0" collapsed="false">
      <c r="A10" s="12" t="s">
        <v>127</v>
      </c>
      <c r="B10" s="12" t="s">
        <v>126</v>
      </c>
      <c r="C10" s="12" t="s">
        <v>110</v>
      </c>
      <c r="D10" s="12" t="s">
        <v>125</v>
      </c>
      <c r="E10" s="17" t="s">
        <v>116</v>
      </c>
      <c r="F10" s="12"/>
      <c r="G10" s="12"/>
      <c r="H10" s="12" t="s">
        <v>124</v>
      </c>
    </row>
    <row r="11" customFormat="false" ht="15" hidden="false" customHeight="false" outlineLevel="0" collapsed="false">
      <c r="A11" s="12" t="s">
        <v>128</v>
      </c>
      <c r="B11" s="12" t="s">
        <v>129</v>
      </c>
      <c r="C11" s="12" t="s">
        <v>110</v>
      </c>
      <c r="D11" s="12" t="s">
        <v>125</v>
      </c>
      <c r="E11" s="17" t="s">
        <v>112</v>
      </c>
      <c r="F11" s="12"/>
      <c r="G11" s="12" t="s">
        <v>130</v>
      </c>
      <c r="H11" s="12" t="s">
        <v>131</v>
      </c>
    </row>
    <row r="12" customFormat="false" ht="15" hidden="false" customHeight="false" outlineLevel="0" collapsed="false">
      <c r="A12" s="12" t="s">
        <v>132</v>
      </c>
      <c r="B12" s="12" t="s">
        <v>133</v>
      </c>
      <c r="C12" s="12" t="s">
        <v>110</v>
      </c>
      <c r="D12" s="12" t="s">
        <v>125</v>
      </c>
      <c r="E12" s="17" t="s">
        <v>112</v>
      </c>
      <c r="F12" s="12"/>
      <c r="G12" s="12" t="s">
        <v>130</v>
      </c>
      <c r="H12" s="12" t="s">
        <v>134</v>
      </c>
    </row>
    <row r="13" customFormat="false" ht="15" hidden="false" customHeight="false" outlineLevel="0" collapsed="false">
      <c r="A13" s="12" t="s">
        <v>135</v>
      </c>
      <c r="B13" s="12" t="s">
        <v>136</v>
      </c>
      <c r="C13" s="12" t="s">
        <v>110</v>
      </c>
      <c r="D13" s="12" t="s">
        <v>125</v>
      </c>
      <c r="E13" s="17" t="s">
        <v>112</v>
      </c>
      <c r="F13" s="12"/>
      <c r="G13" s="12" t="s">
        <v>130</v>
      </c>
      <c r="H13" s="12" t="s">
        <v>137</v>
      </c>
    </row>
    <row r="14" customFormat="false" ht="15" hidden="false" customHeight="false" outlineLevel="0" collapsed="false">
      <c r="A14" s="12" t="s">
        <v>138</v>
      </c>
      <c r="B14" s="12" t="s">
        <v>139</v>
      </c>
      <c r="C14" s="12" t="s">
        <v>140</v>
      </c>
      <c r="D14" s="12" t="s">
        <v>125</v>
      </c>
      <c r="E14" s="17" t="s">
        <v>88</v>
      </c>
      <c r="F14" s="12"/>
      <c r="G14" s="12" t="s">
        <v>130</v>
      </c>
      <c r="H14" s="12"/>
    </row>
    <row r="15" customFormat="false" ht="15" hidden="false" customHeight="false" outlineLevel="0" collapsed="false">
      <c r="A15" s="12" t="s">
        <v>141</v>
      </c>
      <c r="B15" s="12" t="s">
        <v>142</v>
      </c>
      <c r="C15" s="12" t="s">
        <v>140</v>
      </c>
      <c r="D15" s="12" t="s">
        <v>125</v>
      </c>
      <c r="E15" s="17" t="s">
        <v>112</v>
      </c>
      <c r="F15" s="12"/>
      <c r="G15" s="12"/>
      <c r="H15" s="12"/>
    </row>
    <row r="16" customFormat="false" ht="15" hidden="false" customHeight="false" outlineLevel="0" collapsed="false">
      <c r="A16" s="12" t="s">
        <v>143</v>
      </c>
      <c r="B16" s="12" t="s">
        <v>144</v>
      </c>
      <c r="C16" s="12" t="s">
        <v>140</v>
      </c>
      <c r="D16" s="12" t="s">
        <v>125</v>
      </c>
      <c r="E16" s="17" t="s">
        <v>88</v>
      </c>
      <c r="F16" s="12"/>
      <c r="G16" s="12"/>
      <c r="H16" s="12"/>
    </row>
    <row r="17" customFormat="false" ht="15" hidden="false" customHeight="false" outlineLevel="0" collapsed="false">
      <c r="A17" s="12" t="s">
        <v>145</v>
      </c>
      <c r="B17" s="12" t="s">
        <v>146</v>
      </c>
      <c r="C17" s="12" t="s">
        <v>140</v>
      </c>
      <c r="D17" s="12" t="s">
        <v>125</v>
      </c>
      <c r="E17" s="17" t="s">
        <v>112</v>
      </c>
      <c r="F17" s="12"/>
      <c r="G17" s="12" t="s">
        <v>130</v>
      </c>
      <c r="H17" s="12"/>
    </row>
    <row r="18" customFormat="false" ht="15" hidden="false" customHeight="false" outlineLevel="0" collapsed="false">
      <c r="A18" s="12" t="s">
        <v>147</v>
      </c>
      <c r="B18" s="12" t="s">
        <v>148</v>
      </c>
      <c r="C18" s="12" t="s">
        <v>140</v>
      </c>
      <c r="D18" s="12" t="s">
        <v>125</v>
      </c>
      <c r="E18" s="17" t="s">
        <v>112</v>
      </c>
      <c r="F18" s="12"/>
      <c r="G18" s="12"/>
      <c r="H18" s="12" t="s">
        <v>149</v>
      </c>
    </row>
    <row r="19" customFormat="false" ht="15" hidden="false" customHeight="false" outlineLevel="0" collapsed="false">
      <c r="A19" s="12" t="s">
        <v>150</v>
      </c>
      <c r="B19" s="12" t="s">
        <v>149</v>
      </c>
      <c r="C19" s="12" t="s">
        <v>140</v>
      </c>
      <c r="D19" s="12" t="s">
        <v>125</v>
      </c>
      <c r="E19" s="17" t="s">
        <v>88</v>
      </c>
      <c r="F19" s="12"/>
      <c r="G19" s="12"/>
      <c r="H19" s="12" t="s">
        <v>148</v>
      </c>
    </row>
    <row r="20" customFormat="false" ht="15" hidden="false" customHeight="false" outlineLevel="0" collapsed="false">
      <c r="A20" s="12" t="s">
        <v>151</v>
      </c>
      <c r="B20" s="12" t="s">
        <v>152</v>
      </c>
      <c r="C20" s="12" t="s">
        <v>140</v>
      </c>
      <c r="D20" s="12" t="s">
        <v>125</v>
      </c>
      <c r="E20" s="17" t="s">
        <v>112</v>
      </c>
      <c r="F20" s="12"/>
      <c r="G20" s="12"/>
      <c r="H20" s="12"/>
    </row>
    <row r="21" customFormat="false" ht="15" hidden="false" customHeight="false" outlineLevel="0" collapsed="false">
      <c r="A21" s="12" t="s">
        <v>153</v>
      </c>
      <c r="B21" s="12" t="s">
        <v>154</v>
      </c>
      <c r="C21" s="12" t="s">
        <v>140</v>
      </c>
      <c r="D21" s="12" t="s">
        <v>125</v>
      </c>
      <c r="E21" s="17" t="s">
        <v>88</v>
      </c>
      <c r="F21" s="12"/>
      <c r="G21" s="12"/>
      <c r="H21" s="12"/>
    </row>
    <row r="22" customFormat="false" ht="15" hidden="false" customHeight="false" outlineLevel="0" collapsed="false">
      <c r="A22" s="12" t="s">
        <v>155</v>
      </c>
      <c r="B22" s="12" t="s">
        <v>156</v>
      </c>
      <c r="C22" s="12" t="s">
        <v>157</v>
      </c>
      <c r="D22" s="12" t="s">
        <v>125</v>
      </c>
      <c r="E22" s="17" t="s">
        <v>88</v>
      </c>
      <c r="F22" s="12"/>
      <c r="G22" s="12"/>
      <c r="H22" s="12"/>
    </row>
    <row r="23" customFormat="false" ht="15" hidden="false" customHeight="false" outlineLevel="0" collapsed="false">
      <c r="A23" s="12" t="s">
        <v>158</v>
      </c>
      <c r="B23" s="12" t="s">
        <v>159</v>
      </c>
      <c r="C23" s="12" t="s">
        <v>157</v>
      </c>
      <c r="D23" s="12" t="s">
        <v>111</v>
      </c>
      <c r="E23" s="17" t="s">
        <v>112</v>
      </c>
      <c r="F23" s="12"/>
      <c r="G23" s="12"/>
      <c r="H23" s="12"/>
    </row>
    <row r="24" customFormat="false" ht="15" hidden="false" customHeight="false" outlineLevel="0" collapsed="false">
      <c r="A24" s="12" t="s">
        <v>160</v>
      </c>
      <c r="B24" s="12" t="s">
        <v>161</v>
      </c>
      <c r="C24" s="12" t="s">
        <v>157</v>
      </c>
      <c r="D24" s="12" t="s">
        <v>111</v>
      </c>
      <c r="E24" s="17" t="s">
        <v>112</v>
      </c>
      <c r="F24" s="12"/>
      <c r="G24" s="12"/>
      <c r="H24" s="12" t="s">
        <v>162</v>
      </c>
    </row>
    <row r="25" customFormat="false" ht="15" hidden="false" customHeight="false" outlineLevel="0" collapsed="false">
      <c r="A25" s="12" t="s">
        <v>163</v>
      </c>
      <c r="B25" s="12" t="s">
        <v>164</v>
      </c>
      <c r="C25" s="12" t="s">
        <v>157</v>
      </c>
      <c r="D25" s="12" t="s">
        <v>111</v>
      </c>
      <c r="E25" s="17" t="s">
        <v>112</v>
      </c>
      <c r="F25" s="12"/>
      <c r="G25" s="12"/>
      <c r="H25" s="12" t="s">
        <v>165</v>
      </c>
    </row>
    <row r="26" customFormat="false" ht="15" hidden="false" customHeight="false" outlineLevel="0" collapsed="false">
      <c r="A26" s="12" t="s">
        <v>166</v>
      </c>
      <c r="B26" s="12" t="s">
        <v>167</v>
      </c>
      <c r="C26" s="12" t="s">
        <v>157</v>
      </c>
      <c r="D26" s="12" t="s">
        <v>111</v>
      </c>
      <c r="E26" s="17" t="s">
        <v>112</v>
      </c>
      <c r="F26" s="12"/>
      <c r="G26" s="12"/>
      <c r="H26" s="12" t="s">
        <v>168</v>
      </c>
    </row>
    <row r="27" customFormat="false" ht="15" hidden="false" customHeight="false" outlineLevel="0" collapsed="false">
      <c r="A27" s="12" t="s">
        <v>169</v>
      </c>
      <c r="B27" s="12" t="s">
        <v>170</v>
      </c>
      <c r="C27" s="12" t="s">
        <v>157</v>
      </c>
      <c r="D27" s="12" t="s">
        <v>111</v>
      </c>
      <c r="E27" s="17" t="s">
        <v>112</v>
      </c>
      <c r="F27" s="12"/>
      <c r="G27" s="12"/>
      <c r="H27" s="12" t="s">
        <v>171</v>
      </c>
    </row>
    <row r="28" customFormat="false" ht="15" hidden="false" customHeight="false" outlineLevel="0" collapsed="false">
      <c r="A28" s="12" t="s">
        <v>172</v>
      </c>
      <c r="B28" s="12" t="s">
        <v>173</v>
      </c>
      <c r="C28" s="12" t="s">
        <v>157</v>
      </c>
      <c r="D28" s="12" t="s">
        <v>111</v>
      </c>
      <c r="E28" s="17" t="s">
        <v>112</v>
      </c>
      <c r="F28" s="12"/>
      <c r="G28" s="12"/>
      <c r="H28" s="12"/>
    </row>
    <row r="29" customFormat="false" ht="15" hidden="false" customHeight="false" outlineLevel="0" collapsed="false">
      <c r="A29" s="12" t="s">
        <v>174</v>
      </c>
      <c r="B29" s="12" t="s">
        <v>171</v>
      </c>
      <c r="C29" s="12" t="s">
        <v>157</v>
      </c>
      <c r="D29" s="12" t="s">
        <v>111</v>
      </c>
      <c r="E29" s="17" t="s">
        <v>112</v>
      </c>
      <c r="F29" s="12"/>
      <c r="G29" s="12"/>
      <c r="H29" s="12" t="s">
        <v>170</v>
      </c>
    </row>
    <row r="30" customFormat="false" ht="15" hidden="false" customHeight="false" outlineLevel="0" collapsed="false">
      <c r="A30" s="12" t="s">
        <v>175</v>
      </c>
      <c r="B30" s="12" t="s">
        <v>176</v>
      </c>
      <c r="C30" s="12" t="s">
        <v>177</v>
      </c>
      <c r="D30" s="12" t="s">
        <v>111</v>
      </c>
      <c r="E30" s="17" t="s">
        <v>112</v>
      </c>
      <c r="F30" s="12"/>
      <c r="G30" s="12"/>
      <c r="H30" s="12"/>
    </row>
    <row r="31" customFormat="false" ht="15" hidden="false" customHeight="false" outlineLevel="0" collapsed="false">
      <c r="A31" s="12" t="s">
        <v>178</v>
      </c>
      <c r="B31" s="12" t="s">
        <v>179</v>
      </c>
      <c r="C31" s="12" t="s">
        <v>177</v>
      </c>
      <c r="D31" s="12" t="s">
        <v>111</v>
      </c>
      <c r="E31" s="17" t="s">
        <v>112</v>
      </c>
      <c r="F31" s="12"/>
      <c r="G31" s="12"/>
      <c r="H31" s="12"/>
    </row>
    <row r="32" customFormat="false" ht="15" hidden="false" customHeight="false" outlineLevel="0" collapsed="false">
      <c r="A32" s="12" t="s">
        <v>180</v>
      </c>
      <c r="B32" s="12" t="s">
        <v>181</v>
      </c>
      <c r="C32" s="12" t="s">
        <v>177</v>
      </c>
      <c r="D32" s="12" t="s">
        <v>111</v>
      </c>
      <c r="E32" s="17" t="s">
        <v>88</v>
      </c>
      <c r="F32" s="12" t="s">
        <v>130</v>
      </c>
      <c r="G32" s="12"/>
      <c r="H32" s="12" t="s">
        <v>182</v>
      </c>
    </row>
    <row r="33" customFormat="false" ht="15" hidden="false" customHeight="false" outlineLevel="0" collapsed="false">
      <c r="A33" s="12" t="s">
        <v>183</v>
      </c>
      <c r="B33" s="12" t="s">
        <v>184</v>
      </c>
      <c r="C33" s="12" t="s">
        <v>177</v>
      </c>
      <c r="D33" s="12" t="s">
        <v>111</v>
      </c>
      <c r="E33" s="17" t="s">
        <v>88</v>
      </c>
      <c r="F33" s="12" t="s">
        <v>130</v>
      </c>
      <c r="G33" s="12"/>
      <c r="H33" s="12"/>
    </row>
    <row r="34" customFormat="false" ht="15" hidden="false" customHeight="false" outlineLevel="0" collapsed="false">
      <c r="A34" s="12" t="s">
        <v>185</v>
      </c>
      <c r="B34" s="12" t="s">
        <v>182</v>
      </c>
      <c r="C34" s="12" t="s">
        <v>177</v>
      </c>
      <c r="D34" s="12" t="s">
        <v>111</v>
      </c>
      <c r="E34" s="17" t="s">
        <v>88</v>
      </c>
      <c r="F34" s="12" t="s">
        <v>130</v>
      </c>
      <c r="G34" s="12"/>
      <c r="H34" s="12" t="s">
        <v>181</v>
      </c>
    </row>
    <row r="35" customFormat="false" ht="15" hidden="false" customHeight="false" outlineLevel="0" collapsed="false">
      <c r="A35" s="12" t="s">
        <v>186</v>
      </c>
      <c r="B35" s="12" t="s">
        <v>187</v>
      </c>
      <c r="C35" s="12" t="s">
        <v>177</v>
      </c>
      <c r="D35" s="12" t="s">
        <v>111</v>
      </c>
      <c r="E35" s="17" t="s">
        <v>112</v>
      </c>
      <c r="F35" s="12"/>
      <c r="G35" s="12"/>
      <c r="H35" s="12"/>
    </row>
    <row r="36" customFormat="false" ht="15" hidden="false" customHeight="false" outlineLevel="0" collapsed="false">
      <c r="A36" s="12" t="s">
        <v>188</v>
      </c>
      <c r="B36" s="12" t="s">
        <v>189</v>
      </c>
      <c r="C36" s="12" t="s">
        <v>177</v>
      </c>
      <c r="D36" s="12" t="s">
        <v>111</v>
      </c>
      <c r="E36" s="17" t="s">
        <v>116</v>
      </c>
      <c r="F36" s="12"/>
      <c r="G36" s="12"/>
      <c r="H36" s="12" t="s">
        <v>190</v>
      </c>
    </row>
    <row r="37" customFormat="false" ht="15" hidden="false" customHeight="false" outlineLevel="0" collapsed="false">
      <c r="A37" s="12" t="s">
        <v>191</v>
      </c>
      <c r="B37" s="12" t="s">
        <v>190</v>
      </c>
      <c r="C37" s="12" t="s">
        <v>177</v>
      </c>
      <c r="D37" s="12" t="s">
        <v>111</v>
      </c>
      <c r="E37" s="17" t="s">
        <v>112</v>
      </c>
      <c r="F37" s="12"/>
      <c r="G37" s="12"/>
      <c r="H37" s="12" t="s">
        <v>189</v>
      </c>
    </row>
    <row r="38" customFormat="false" ht="15" hidden="false" customHeight="false" outlineLevel="0" collapsed="false">
      <c r="A38" s="12" t="s">
        <v>192</v>
      </c>
      <c r="B38" s="12" t="s">
        <v>193</v>
      </c>
      <c r="C38" s="12" t="s">
        <v>194</v>
      </c>
      <c r="D38" s="12" t="s">
        <v>111</v>
      </c>
      <c r="E38" s="17" t="s">
        <v>112</v>
      </c>
      <c r="F38" s="12"/>
      <c r="G38" s="12"/>
      <c r="H38" s="12" t="s">
        <v>195</v>
      </c>
    </row>
    <row r="39" customFormat="false" ht="15" hidden="false" customHeight="false" outlineLevel="0" collapsed="false">
      <c r="A39" s="12" t="s">
        <v>196</v>
      </c>
      <c r="B39" s="12" t="s">
        <v>195</v>
      </c>
      <c r="C39" s="12" t="s">
        <v>194</v>
      </c>
      <c r="D39" s="12" t="s">
        <v>111</v>
      </c>
      <c r="E39" s="17" t="s">
        <v>112</v>
      </c>
      <c r="F39" s="12"/>
      <c r="G39" s="12"/>
      <c r="H39" s="12" t="s">
        <v>193</v>
      </c>
    </row>
    <row r="40" customFormat="false" ht="15" hidden="false" customHeight="false" outlineLevel="0" collapsed="false">
      <c r="A40" s="12" t="s">
        <v>197</v>
      </c>
      <c r="B40" s="12" t="s">
        <v>198</v>
      </c>
      <c r="C40" s="12" t="s">
        <v>194</v>
      </c>
      <c r="D40" s="12" t="s">
        <v>111</v>
      </c>
      <c r="E40" s="17" t="s">
        <v>112</v>
      </c>
      <c r="F40" s="12"/>
      <c r="G40" s="12"/>
      <c r="H40" s="12"/>
    </row>
    <row r="41" customFormat="false" ht="15" hidden="false" customHeight="false" outlineLevel="0" collapsed="false">
      <c r="A41" s="12" t="s">
        <v>199</v>
      </c>
      <c r="B41" s="12" t="s">
        <v>200</v>
      </c>
      <c r="C41" s="12" t="s">
        <v>194</v>
      </c>
      <c r="D41" s="12" t="s">
        <v>111</v>
      </c>
      <c r="E41" s="17" t="s">
        <v>112</v>
      </c>
      <c r="F41" s="12"/>
      <c r="G41" s="12"/>
      <c r="H41" s="12"/>
    </row>
    <row r="42" customFormat="false" ht="15" hidden="false" customHeight="false" outlineLevel="0" collapsed="false">
      <c r="A42" s="12" t="s">
        <v>201</v>
      </c>
      <c r="B42" s="12" t="s">
        <v>202</v>
      </c>
      <c r="C42" s="12" t="s">
        <v>194</v>
      </c>
      <c r="D42" s="12" t="s">
        <v>111</v>
      </c>
      <c r="E42" s="17" t="s">
        <v>112</v>
      </c>
      <c r="F42" s="12"/>
      <c r="G42" s="12"/>
      <c r="H42" s="12"/>
    </row>
    <row r="43" customFormat="false" ht="15" hidden="false" customHeight="false" outlineLevel="0" collapsed="false">
      <c r="A43" s="12" t="s">
        <v>203</v>
      </c>
      <c r="B43" s="12" t="s">
        <v>204</v>
      </c>
      <c r="C43" s="12" t="s">
        <v>194</v>
      </c>
      <c r="D43" s="12" t="s">
        <v>111</v>
      </c>
      <c r="E43" s="17" t="s">
        <v>112</v>
      </c>
      <c r="F43" s="12"/>
      <c r="G43" s="12"/>
      <c r="H43" s="12"/>
    </row>
    <row r="44" customFormat="false" ht="15" hidden="false" customHeight="false" outlineLevel="0" collapsed="false">
      <c r="A44" s="12" t="s">
        <v>205</v>
      </c>
      <c r="B44" s="12" t="s">
        <v>206</v>
      </c>
      <c r="C44" s="12" t="s">
        <v>194</v>
      </c>
      <c r="D44" s="12" t="s">
        <v>125</v>
      </c>
      <c r="E44" s="17" t="s">
        <v>88</v>
      </c>
      <c r="F44" s="12"/>
      <c r="G44" s="12"/>
      <c r="H44" s="12" t="s">
        <v>207</v>
      </c>
    </row>
    <row r="45" customFormat="false" ht="15" hidden="false" customHeight="false" outlineLevel="0" collapsed="false">
      <c r="A45" s="12" t="s">
        <v>208</v>
      </c>
      <c r="B45" s="12" t="s">
        <v>207</v>
      </c>
      <c r="C45" s="12" t="s">
        <v>194</v>
      </c>
      <c r="D45" s="12" t="s">
        <v>125</v>
      </c>
      <c r="E45" s="17" t="s">
        <v>112</v>
      </c>
      <c r="F45" s="12"/>
      <c r="G45" s="12"/>
      <c r="H45" s="12" t="s">
        <v>206</v>
      </c>
    </row>
    <row r="46" customFormat="false" ht="15" hidden="false" customHeight="false" outlineLevel="0" collapsed="false">
      <c r="A46" s="12" t="s">
        <v>209</v>
      </c>
      <c r="B46" s="12" t="s">
        <v>210</v>
      </c>
      <c r="C46" s="12" t="s">
        <v>211</v>
      </c>
      <c r="D46" s="12" t="s">
        <v>111</v>
      </c>
      <c r="E46" s="17" t="s">
        <v>116</v>
      </c>
      <c r="F46" s="12"/>
      <c r="G46" s="12"/>
      <c r="H46" s="12"/>
    </row>
    <row r="47" customFormat="false" ht="15" hidden="false" customHeight="false" outlineLevel="0" collapsed="false">
      <c r="A47" s="12" t="s">
        <v>212</v>
      </c>
      <c r="B47" s="12" t="s">
        <v>213</v>
      </c>
      <c r="C47" s="12" t="s">
        <v>211</v>
      </c>
      <c r="D47" s="12" t="s">
        <v>111</v>
      </c>
      <c r="E47" s="17" t="s">
        <v>116</v>
      </c>
      <c r="F47" s="12"/>
      <c r="G47" s="12"/>
      <c r="H47" s="12"/>
    </row>
    <row r="48" customFormat="false" ht="15" hidden="false" customHeight="false" outlineLevel="0" collapsed="false">
      <c r="A48" s="12" t="s">
        <v>214</v>
      </c>
      <c r="B48" s="12" t="s">
        <v>215</v>
      </c>
      <c r="C48" s="12" t="s">
        <v>211</v>
      </c>
      <c r="D48" s="12" t="s">
        <v>111</v>
      </c>
      <c r="E48" s="17" t="s">
        <v>116</v>
      </c>
      <c r="F48" s="12"/>
      <c r="G48" s="12"/>
      <c r="H48" s="12"/>
    </row>
    <row r="49" customFormat="false" ht="15" hidden="false" customHeight="false" outlineLevel="0" collapsed="false">
      <c r="A49" s="12" t="s">
        <v>216</v>
      </c>
      <c r="B49" s="12" t="s">
        <v>217</v>
      </c>
      <c r="C49" s="12" t="s">
        <v>211</v>
      </c>
      <c r="D49" s="12" t="s">
        <v>125</v>
      </c>
      <c r="E49" s="17" t="s">
        <v>116</v>
      </c>
      <c r="F49" s="12"/>
      <c r="G49" s="12"/>
      <c r="H49" s="12"/>
    </row>
    <row r="50" customFormat="false" ht="15" hidden="false" customHeight="false" outlineLevel="0" collapsed="false">
      <c r="A50" s="12" t="s">
        <v>218</v>
      </c>
      <c r="B50" s="12" t="s">
        <v>219</v>
      </c>
      <c r="C50" s="12" t="s">
        <v>211</v>
      </c>
      <c r="D50" s="12" t="s">
        <v>125</v>
      </c>
      <c r="E50" s="17" t="s">
        <v>116</v>
      </c>
      <c r="F50" s="12"/>
      <c r="G50" s="12"/>
      <c r="H50" s="12"/>
    </row>
    <row r="51" customFormat="false" ht="15" hidden="false" customHeight="false" outlineLevel="0" collapsed="false">
      <c r="A51" s="12" t="s">
        <v>220</v>
      </c>
      <c r="B51" s="12" t="s">
        <v>221</v>
      </c>
      <c r="C51" s="12" t="s">
        <v>222</v>
      </c>
      <c r="D51" s="12" t="s">
        <v>111</v>
      </c>
      <c r="E51" s="17" t="s">
        <v>88</v>
      </c>
      <c r="F51" s="12"/>
      <c r="G51" s="12"/>
      <c r="H51" s="12"/>
    </row>
    <row r="52" customFormat="false" ht="15" hidden="false" customHeight="false" outlineLevel="0" collapsed="false">
      <c r="A52" s="12" t="s">
        <v>223</v>
      </c>
      <c r="B52" s="12" t="s">
        <v>224</v>
      </c>
      <c r="C52" s="12" t="s">
        <v>222</v>
      </c>
      <c r="D52" s="12" t="s">
        <v>111</v>
      </c>
      <c r="E52" s="17" t="s">
        <v>112</v>
      </c>
      <c r="F52" s="12"/>
      <c r="G52" s="12"/>
      <c r="H52" s="12"/>
    </row>
    <row r="53" customFormat="false" ht="15" hidden="false" customHeight="false" outlineLevel="0" collapsed="false">
      <c r="A53" s="12" t="s">
        <v>225</v>
      </c>
      <c r="B53" s="12" t="s">
        <v>226</v>
      </c>
      <c r="C53" s="12" t="s">
        <v>222</v>
      </c>
      <c r="D53" s="12" t="s">
        <v>111</v>
      </c>
      <c r="E53" s="17" t="s">
        <v>116</v>
      </c>
      <c r="F53" s="12"/>
      <c r="G53" s="12"/>
      <c r="H53" s="12"/>
    </row>
    <row r="54" customFormat="false" ht="15" hidden="false" customHeight="false" outlineLevel="0" collapsed="false">
      <c r="A54" s="12" t="s">
        <v>227</v>
      </c>
      <c r="B54" s="12" t="s">
        <v>228</v>
      </c>
      <c r="C54" s="12" t="s">
        <v>229</v>
      </c>
      <c r="D54" s="12" t="s">
        <v>111</v>
      </c>
      <c r="E54" s="17" t="s">
        <v>116</v>
      </c>
      <c r="F54" s="12"/>
      <c r="G54" s="12"/>
      <c r="H54" s="12" t="s">
        <v>230</v>
      </c>
    </row>
    <row r="55" customFormat="false" ht="15" hidden="false" customHeight="false" outlineLevel="0" collapsed="false">
      <c r="A55" s="12" t="s">
        <v>231</v>
      </c>
      <c r="B55" s="12" t="s">
        <v>230</v>
      </c>
      <c r="C55" s="12" t="s">
        <v>229</v>
      </c>
      <c r="D55" s="12" t="s">
        <v>111</v>
      </c>
      <c r="E55" s="17" t="s">
        <v>116</v>
      </c>
      <c r="F55" s="12"/>
      <c r="G55" s="12"/>
      <c r="H55" s="12" t="s">
        <v>228</v>
      </c>
    </row>
    <row r="56" customFormat="false" ht="15" hidden="false" customHeight="false" outlineLevel="0" collapsed="false">
      <c r="A56" s="12" t="s">
        <v>232</v>
      </c>
      <c r="B56" s="12" t="s">
        <v>233</v>
      </c>
      <c r="C56" s="12" t="s">
        <v>234</v>
      </c>
      <c r="D56" s="12" t="s">
        <v>111</v>
      </c>
      <c r="E56" s="17" t="s">
        <v>112</v>
      </c>
      <c r="F56" s="12"/>
      <c r="G56" s="12"/>
      <c r="H56" s="12"/>
    </row>
    <row r="57" customFormat="false" ht="15" hidden="false" customHeight="false" outlineLevel="0" collapsed="false">
      <c r="A57" s="12" t="s">
        <v>235</v>
      </c>
      <c r="B57" s="12" t="s">
        <v>236</v>
      </c>
      <c r="C57" s="12" t="s">
        <v>237</v>
      </c>
      <c r="D57" s="12" t="s">
        <v>125</v>
      </c>
      <c r="E57" s="17" t="s">
        <v>88</v>
      </c>
      <c r="F57" s="12" t="s">
        <v>130</v>
      </c>
      <c r="G57" s="12"/>
      <c r="H57" s="12"/>
    </row>
    <row r="58" customFormat="false" ht="15" hidden="false" customHeight="false" outlineLevel="0" collapsed="false">
      <c r="A58" s="12" t="s">
        <v>238</v>
      </c>
      <c r="B58" s="12" t="s">
        <v>239</v>
      </c>
      <c r="C58" s="12" t="s">
        <v>234</v>
      </c>
      <c r="D58" s="12" t="s">
        <v>125</v>
      </c>
      <c r="E58" s="17" t="s">
        <v>112</v>
      </c>
      <c r="F58" s="12"/>
      <c r="G58" s="12"/>
      <c r="H58" s="12"/>
    </row>
    <row r="59" customFormat="false" ht="15" hidden="false" customHeight="false" outlineLevel="0" collapsed="false">
      <c r="A59" s="12" t="s">
        <v>240</v>
      </c>
      <c r="B59" s="12" t="s">
        <v>241</v>
      </c>
      <c r="C59" s="12" t="s">
        <v>234</v>
      </c>
      <c r="D59" s="12" t="s">
        <v>125</v>
      </c>
      <c r="E59" s="17" t="s">
        <v>112</v>
      </c>
      <c r="F59" s="12"/>
      <c r="G59" s="12"/>
      <c r="H59" s="12"/>
    </row>
    <row r="60" customFormat="false" ht="15" hidden="false" customHeight="false" outlineLevel="0" collapsed="false">
      <c r="A60" s="12" t="s">
        <v>242</v>
      </c>
      <c r="B60" s="12" t="s">
        <v>243</v>
      </c>
      <c r="C60" s="12" t="s">
        <v>244</v>
      </c>
      <c r="D60" s="12" t="s">
        <v>125</v>
      </c>
      <c r="E60" s="17" t="s">
        <v>88</v>
      </c>
      <c r="F60" s="12"/>
      <c r="G60" s="12"/>
      <c r="H60" s="12" t="s">
        <v>245</v>
      </c>
    </row>
    <row r="61" customFormat="false" ht="15" hidden="false" customHeight="false" outlineLevel="0" collapsed="false">
      <c r="A61" s="12" t="s">
        <v>246</v>
      </c>
      <c r="B61" s="12" t="s">
        <v>245</v>
      </c>
      <c r="C61" s="12" t="s">
        <v>244</v>
      </c>
      <c r="D61" s="12" t="s">
        <v>125</v>
      </c>
      <c r="E61" s="17" t="s">
        <v>88</v>
      </c>
      <c r="F61" s="12"/>
      <c r="G61" s="12"/>
      <c r="H61" s="12" t="s">
        <v>243</v>
      </c>
    </row>
    <row r="62" customFormat="false" ht="15" hidden="false" customHeight="false" outlineLevel="0" collapsed="false">
      <c r="A62" s="12" t="s">
        <v>247</v>
      </c>
      <c r="B62" s="12" t="s">
        <v>248</v>
      </c>
      <c r="C62" s="12" t="s">
        <v>244</v>
      </c>
      <c r="D62" s="12" t="s">
        <v>125</v>
      </c>
      <c r="E62" s="17" t="s">
        <v>112</v>
      </c>
      <c r="F62" s="12"/>
      <c r="G62" s="12"/>
      <c r="H62" s="12"/>
    </row>
    <row r="63" customFormat="false" ht="15" hidden="false" customHeight="false" outlineLevel="0" collapsed="false">
      <c r="A63" s="12" t="s">
        <v>249</v>
      </c>
      <c r="B63" s="12" t="s">
        <v>250</v>
      </c>
      <c r="C63" s="12" t="s">
        <v>244</v>
      </c>
      <c r="D63" s="12" t="s">
        <v>125</v>
      </c>
      <c r="E63" s="17" t="s">
        <v>88</v>
      </c>
      <c r="F63" s="12"/>
      <c r="G63" s="12"/>
      <c r="H63" s="12"/>
    </row>
    <row r="64" customFormat="false" ht="15" hidden="false" customHeight="false" outlineLevel="0" collapsed="false">
      <c r="A64" s="12" t="s">
        <v>251</v>
      </c>
      <c r="B64" s="12" t="s">
        <v>252</v>
      </c>
      <c r="C64" s="12" t="s">
        <v>244</v>
      </c>
      <c r="D64" s="12" t="s">
        <v>125</v>
      </c>
      <c r="E64" s="17" t="s">
        <v>88</v>
      </c>
      <c r="F64" s="12"/>
      <c r="G64" s="12"/>
      <c r="H64" s="12"/>
    </row>
    <row r="66" customFormat="false" ht="15" hidden="false" customHeight="false" outlineLevel="0" collapsed="false">
      <c r="A66" s="10" t="s">
        <v>253</v>
      </c>
    </row>
    <row r="67" customFormat="false" ht="15" hidden="false" customHeight="false" outlineLevel="0" collapsed="false">
      <c r="A67" s="18" t="s">
        <v>254</v>
      </c>
      <c r="B67" s="18" t="n">
        <f aca="false">COUNTIF(E5:E64,"V")</f>
        <v>15</v>
      </c>
    </row>
    <row r="68" customFormat="false" ht="15" hidden="false" customHeight="false" outlineLevel="0" collapsed="false">
      <c r="A68" s="18" t="s">
        <v>255</v>
      </c>
      <c r="B68" s="18" t="n">
        <f aca="false">COUNTIF(E5:E64,"E")</f>
        <v>32</v>
      </c>
    </row>
    <row r="69" customFormat="false" ht="15" hidden="false" customHeight="false" outlineLevel="0" collapsed="false">
      <c r="A69" s="18" t="s">
        <v>256</v>
      </c>
      <c r="B69" s="18" t="n">
        <f aca="false">COUNTIF(E5:E64,"N")</f>
        <v>13</v>
      </c>
    </row>
    <row r="70" customFormat="false" ht="15" hidden="false" customHeight="false" outlineLevel="0" collapsed="false">
      <c r="A70" s="10" t="s">
        <v>257</v>
      </c>
      <c r="B70" s="10" t="n">
        <f aca="false">SUM(B67:B69)</f>
        <v>60</v>
      </c>
    </row>
  </sheetData>
  <conditionalFormatting sqref="E5:E64">
    <cfRule type="cellIs" priority="2" operator="equal" aboveAverage="0" equalAverage="0" bottom="0" percent="0" rank="0" text="" dxfId="7">
      <formula>"V"</formula>
    </cfRule>
    <cfRule type="cellIs" priority="3" operator="equal" aboveAverage="0" equalAverage="0" bottom="0" percent="0" rank="0" text="" dxfId="8">
      <formula>"N"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259</v>
      </c>
    </row>
    <row r="4" customFormat="false" ht="23.85" hidden="false" customHeight="false" outlineLevel="0" collapsed="false">
      <c r="A4" s="3" t="s">
        <v>100</v>
      </c>
      <c r="B4" s="3" t="s">
        <v>101</v>
      </c>
      <c r="C4" s="3" t="s">
        <v>104</v>
      </c>
      <c r="D4" s="3" t="s">
        <v>260</v>
      </c>
      <c r="E4" s="3" t="s">
        <v>261</v>
      </c>
      <c r="F4" s="3" t="s">
        <v>262</v>
      </c>
      <c r="G4" s="3" t="s">
        <v>263</v>
      </c>
      <c r="H4" s="3" t="s">
        <v>264</v>
      </c>
      <c r="I4" s="3" t="s">
        <v>265</v>
      </c>
      <c r="J4" s="3" t="s">
        <v>266</v>
      </c>
      <c r="L4" s="10" t="s">
        <v>267</v>
      </c>
      <c r="M4" s="19" t="n">
        <v>46321</v>
      </c>
    </row>
    <row r="5" customFormat="false" ht="15" hidden="false" customHeight="false" outlineLevel="0" collapsed="false">
      <c r="A5" s="4" t="s">
        <v>175</v>
      </c>
      <c r="B5" s="4" t="s">
        <v>176</v>
      </c>
      <c r="C5" s="4" t="s">
        <v>112</v>
      </c>
      <c r="D5" s="7" t="n">
        <v>0</v>
      </c>
      <c r="E5" s="5" t="n">
        <v>-12</v>
      </c>
      <c r="F5" s="5" t="n">
        <v>14</v>
      </c>
      <c r="G5" s="20" t="n">
        <f aca="false">$M$4+E5</f>
        <v>46309</v>
      </c>
      <c r="H5" s="20" t="n">
        <f aca="false">$M$4+F5</f>
        <v>46335</v>
      </c>
      <c r="I5" s="4" t="n">
        <f aca="false">F5-E5+1</f>
        <v>27</v>
      </c>
      <c r="J5" s="4" t="str">
        <f aca="false">IF(D5=0,"Pendiente en CEDIS hasta reabastecer","Reparto proporcional ("&amp;TEXT(D5,"0%")&amp;" base)")</f>
        <v>Pendiente en CEDIS hasta reabastecer</v>
      </c>
    </row>
    <row r="6" customFormat="false" ht="15" hidden="false" customHeight="false" outlineLevel="0" collapsed="false">
      <c r="A6" s="4" t="s">
        <v>160</v>
      </c>
      <c r="B6" s="4" t="s">
        <v>161</v>
      </c>
      <c r="C6" s="4" t="s">
        <v>112</v>
      </c>
      <c r="D6" s="7" t="n">
        <v>0</v>
      </c>
      <c r="E6" s="5" t="n">
        <v>-12</v>
      </c>
      <c r="F6" s="5" t="n">
        <v>14</v>
      </c>
      <c r="G6" s="20" t="n">
        <f aca="false">$M$4+E6</f>
        <v>46309</v>
      </c>
      <c r="H6" s="20" t="n">
        <f aca="false">$M$4+F6</f>
        <v>46335</v>
      </c>
      <c r="I6" s="4" t="n">
        <f aca="false">F6-E6+1</f>
        <v>27</v>
      </c>
      <c r="J6" s="4" t="str">
        <f aca="false">IF(D6=0,"Pendiente en CEDIS hasta reabastecer","Reparto proporcional ("&amp;TEXT(D6,"0%")&amp;" base)")</f>
        <v>Pendiente en CEDIS hasta reabastecer</v>
      </c>
    </row>
    <row r="7" customFormat="false" ht="15" hidden="false" customHeight="false" outlineLevel="0" collapsed="false">
      <c r="A7" s="4" t="s">
        <v>180</v>
      </c>
      <c r="B7" s="4" t="s">
        <v>181</v>
      </c>
      <c r="C7" s="4" t="s">
        <v>88</v>
      </c>
      <c r="D7" s="7" t="n">
        <v>0</v>
      </c>
      <c r="E7" s="5" t="n">
        <v>-10</v>
      </c>
      <c r="F7" s="5" t="n">
        <v>14</v>
      </c>
      <c r="G7" s="20" t="n">
        <f aca="false">$M$4+E7</f>
        <v>46311</v>
      </c>
      <c r="H7" s="20" t="n">
        <f aca="false">$M$4+F7</f>
        <v>46335</v>
      </c>
      <c r="I7" s="4" t="n">
        <f aca="false">F7-E7+1</f>
        <v>25</v>
      </c>
      <c r="J7" s="4" t="str">
        <f aca="false">IF(D7=0,"Pendiente en CEDIS hasta reabastecer","Reparto proporcional ("&amp;TEXT(D7,"0%")&amp;" base)")</f>
        <v>Pendiente en CEDIS hasta reabastecer</v>
      </c>
    </row>
    <row r="8" customFormat="false" ht="15" hidden="false" customHeight="false" outlineLevel="0" collapsed="false">
      <c r="A8" s="4" t="s">
        <v>192</v>
      </c>
      <c r="B8" s="4" t="s">
        <v>193</v>
      </c>
      <c r="C8" s="4" t="s">
        <v>112</v>
      </c>
      <c r="D8" s="7" t="n">
        <v>0</v>
      </c>
      <c r="E8" s="5" t="n">
        <v>-12</v>
      </c>
      <c r="F8" s="5" t="n">
        <v>14</v>
      </c>
      <c r="G8" s="20" t="n">
        <f aca="false">$M$4+E8</f>
        <v>46309</v>
      </c>
      <c r="H8" s="20" t="n">
        <f aca="false">$M$4+F8</f>
        <v>46335</v>
      </c>
      <c r="I8" s="4" t="n">
        <f aca="false">F8-E8+1</f>
        <v>27</v>
      </c>
      <c r="J8" s="4" t="str">
        <f aca="false">IF(D8=0,"Pendiente en CEDIS hasta reabastecer","Reparto proporcional ("&amp;TEXT(D8,"0%")&amp;" base)")</f>
        <v>Pendiente en CEDIS hasta reabastecer</v>
      </c>
    </row>
    <row r="9" customFormat="false" ht="15" hidden="false" customHeight="false" outlineLevel="0" collapsed="false">
      <c r="A9" s="4" t="s">
        <v>220</v>
      </c>
      <c r="B9" s="4" t="s">
        <v>221</v>
      </c>
      <c r="C9" s="4" t="s">
        <v>88</v>
      </c>
      <c r="D9" s="7" t="n">
        <v>0</v>
      </c>
      <c r="E9" s="5" t="n">
        <v>-8</v>
      </c>
      <c r="F9" s="5" t="n">
        <v>14</v>
      </c>
      <c r="G9" s="20" t="n">
        <f aca="false">$M$4+E9</f>
        <v>46313</v>
      </c>
      <c r="H9" s="20" t="n">
        <f aca="false">$M$4+F9</f>
        <v>46335</v>
      </c>
      <c r="I9" s="4" t="n">
        <f aca="false">F9-E9+1</f>
        <v>23</v>
      </c>
      <c r="J9" s="4" t="str">
        <f aca="false">IF(D9=0,"Pendiente en CEDIS hasta reabastecer","Reparto proporcional ("&amp;TEXT(D9,"0%")&amp;" base)")</f>
        <v>Pendiente en CEDIS hasta reabastecer</v>
      </c>
    </row>
    <row r="10" customFormat="false" ht="15" hidden="false" customHeight="false" outlineLevel="0" collapsed="false">
      <c r="A10" s="4" t="s">
        <v>205</v>
      </c>
      <c r="B10" s="4" t="s">
        <v>206</v>
      </c>
      <c r="C10" s="4" t="s">
        <v>88</v>
      </c>
      <c r="D10" s="7" t="n">
        <v>0</v>
      </c>
      <c r="E10" s="5" t="n">
        <v>-9</v>
      </c>
      <c r="F10" s="5" t="n">
        <v>14</v>
      </c>
      <c r="G10" s="20" t="n">
        <f aca="false">$M$4+E10</f>
        <v>46312</v>
      </c>
      <c r="H10" s="20" t="n">
        <f aca="false">$M$4+F10</f>
        <v>46335</v>
      </c>
      <c r="I10" s="4" t="n">
        <f aca="false">F10-E10+1</f>
        <v>24</v>
      </c>
      <c r="J10" s="4" t="str">
        <f aca="false">IF(D10=0,"Pendiente en CEDIS hasta reabastecer","Reparto proporcional ("&amp;TEXT(D10,"0%")&amp;" base)")</f>
        <v>Pendiente en CEDIS hasta reabastecer</v>
      </c>
    </row>
    <row r="11" customFormat="false" ht="15" hidden="false" customHeight="false" outlineLevel="0" collapsed="false">
      <c r="A11" s="4" t="s">
        <v>108</v>
      </c>
      <c r="B11" s="4" t="s">
        <v>109</v>
      </c>
      <c r="C11" s="4" t="s">
        <v>112</v>
      </c>
      <c r="D11" s="7" t="n">
        <v>0.3</v>
      </c>
      <c r="E11" s="5" t="n">
        <v>-12</v>
      </c>
      <c r="F11" s="5" t="n">
        <v>14</v>
      </c>
      <c r="G11" s="20" t="n">
        <f aca="false">$M$4+E11</f>
        <v>46309</v>
      </c>
      <c r="H11" s="20" t="n">
        <f aca="false">$M$4+F11</f>
        <v>46335</v>
      </c>
      <c r="I11" s="4" t="n">
        <f aca="false">F11-E11+1</f>
        <v>27</v>
      </c>
      <c r="J11" s="4" t="str">
        <f aca="false">IF(D11=0,"Pendiente en CEDIS hasta reabastecer","Reparto proporcional ("&amp;TEXT(D11,"0%")&amp;" base)")</f>
        <v>Reparto proporcional (30% base)</v>
      </c>
    </row>
    <row r="12" customFormat="false" ht="15" hidden="false" customHeight="false" outlineLevel="0" collapsed="false">
      <c r="A12" s="4" t="s">
        <v>209</v>
      </c>
      <c r="B12" s="4" t="s">
        <v>210</v>
      </c>
      <c r="C12" s="4" t="s">
        <v>116</v>
      </c>
      <c r="D12" s="7" t="n">
        <v>0.3</v>
      </c>
      <c r="E12" s="5" t="n">
        <v>-12</v>
      </c>
      <c r="F12" s="5" t="n">
        <v>14</v>
      </c>
      <c r="G12" s="20" t="n">
        <f aca="false">$M$4+E12</f>
        <v>46309</v>
      </c>
      <c r="H12" s="20" t="n">
        <f aca="false">$M$4+F12</f>
        <v>46335</v>
      </c>
      <c r="I12" s="4" t="n">
        <f aca="false">F12-E12+1</f>
        <v>27</v>
      </c>
      <c r="J12" s="4" t="str">
        <f aca="false">IF(D12=0,"Pendiente en CEDIS hasta reabastecer","Reparto proporcional ("&amp;TEXT(D12,"0%")&amp;" base)")</f>
        <v>Reparto proporcional (30% base)</v>
      </c>
    </row>
    <row r="13" customFormat="false" ht="15" hidden="false" customHeight="false" outlineLevel="0" collapsed="false">
      <c r="A13" s="4" t="s">
        <v>163</v>
      </c>
      <c r="B13" s="4" t="s">
        <v>164</v>
      </c>
      <c r="C13" s="4" t="s">
        <v>112</v>
      </c>
      <c r="D13" s="7" t="n">
        <v>0.3</v>
      </c>
      <c r="E13" s="5" t="n">
        <v>-12</v>
      </c>
      <c r="F13" s="5" t="n">
        <v>14</v>
      </c>
      <c r="G13" s="20" t="n">
        <f aca="false">$M$4+E13</f>
        <v>46309</v>
      </c>
      <c r="H13" s="20" t="n">
        <f aca="false">$M$4+F13</f>
        <v>46335</v>
      </c>
      <c r="I13" s="4" t="n">
        <f aca="false">F13-E13+1</f>
        <v>27</v>
      </c>
      <c r="J13" s="4" t="str">
        <f aca="false">IF(D13=0,"Pendiente en CEDIS hasta reabastecer","Reparto proporcional ("&amp;TEXT(D13,"0%")&amp;" base)")</f>
        <v>Reparto proporcional (30% base)</v>
      </c>
    </row>
    <row r="14" customFormat="false" ht="15" hidden="false" customHeight="false" outlineLevel="0" collapsed="false">
      <c r="A14" s="4" t="s">
        <v>246</v>
      </c>
      <c r="B14" s="4" t="s">
        <v>245</v>
      </c>
      <c r="C14" s="4" t="s">
        <v>88</v>
      </c>
      <c r="D14" s="7" t="n">
        <v>0.4</v>
      </c>
      <c r="E14" s="5" t="n">
        <v>-10</v>
      </c>
      <c r="F14" s="5" t="n">
        <v>14</v>
      </c>
      <c r="G14" s="20" t="n">
        <f aca="false">$M$4+E14</f>
        <v>46311</v>
      </c>
      <c r="H14" s="20" t="n">
        <f aca="false">$M$4+F14</f>
        <v>46335</v>
      </c>
      <c r="I14" s="4" t="n">
        <f aca="false">F14-E14+1</f>
        <v>25</v>
      </c>
      <c r="J14" s="4" t="str">
        <f aca="false">IF(D14=0,"Pendiente en CEDIS hasta reabastecer","Reparto proporcional ("&amp;TEXT(D14,"0%")&amp;" base)")</f>
        <v>Reparto proporcional (40% base)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268</v>
      </c>
    </row>
    <row r="2" customFormat="false" ht="15" hidden="false" customHeight="false" outlineLevel="0" collapsed="false">
      <c r="A2" s="2" t="s">
        <v>269</v>
      </c>
    </row>
    <row r="4" customFormat="false" ht="15" hidden="false" customHeight="false" outlineLevel="0" collapsed="false">
      <c r="A4" s="3" t="s">
        <v>71</v>
      </c>
      <c r="B4" s="3" t="s">
        <v>72</v>
      </c>
    </row>
    <row r="5" customFormat="false" ht="15" hidden="false" customHeight="false" outlineLevel="0" collapsed="false">
      <c r="A5" s="4" t="s">
        <v>270</v>
      </c>
      <c r="B5" s="13" t="n">
        <v>1.35</v>
      </c>
    </row>
    <row r="6" customFormat="false" ht="15" hidden="false" customHeight="false" outlineLevel="0" collapsed="false">
      <c r="A6" s="4" t="s">
        <v>271</v>
      </c>
      <c r="B6" s="13" t="n">
        <v>0.85</v>
      </c>
    </row>
    <row r="7" customFormat="false" ht="15" hidden="false" customHeight="false" outlineLevel="0" collapsed="false">
      <c r="A7" s="4" t="s">
        <v>272</v>
      </c>
      <c r="B7" s="13" t="n">
        <v>1.5</v>
      </c>
    </row>
    <row r="8" customFormat="false" ht="15" hidden="false" customHeight="false" outlineLevel="0" collapsed="false">
      <c r="A8" s="4" t="s">
        <v>273</v>
      </c>
      <c r="B8" s="13" t="n">
        <v>1</v>
      </c>
    </row>
    <row r="9" customFormat="false" ht="15" hidden="false" customHeight="false" outlineLevel="0" collapsed="false">
      <c r="A9" s="4" t="s">
        <v>274</v>
      </c>
      <c r="B9" s="13" t="n">
        <v>0.6</v>
      </c>
    </row>
    <row r="11" customFormat="false" ht="15" hidden="false" customHeight="false" outlineLevel="0" collapsed="false">
      <c r="A11" s="10" t="s">
        <v>275</v>
      </c>
    </row>
    <row r="12" customFormat="false" ht="23.85" hidden="false" customHeight="false" outlineLevel="0" collapsed="false">
      <c r="A12" s="21" t="s">
        <v>276</v>
      </c>
      <c r="B12" s="21" t="s">
        <v>277</v>
      </c>
      <c r="C12" s="21" t="s">
        <v>278</v>
      </c>
      <c r="D12" s="21" t="s">
        <v>279</v>
      </c>
      <c r="E12" s="21" t="s">
        <v>280</v>
      </c>
      <c r="F12" s="21" t="s">
        <v>281</v>
      </c>
      <c r="G12" s="21" t="s">
        <v>282</v>
      </c>
    </row>
    <row r="13" customFormat="false" ht="15" hidden="false" customHeight="false" outlineLevel="0" collapsed="false">
      <c r="A13" s="7" t="n">
        <v>0.2</v>
      </c>
      <c r="B13" s="22" t="n">
        <f aca="false">MIN(1,$A13*$B$5*$B$7)</f>
        <v>0.405</v>
      </c>
      <c r="C13" s="22" t="n">
        <f aca="false">MIN(1,$A13*$B$5*$B$8)</f>
        <v>0.27</v>
      </c>
      <c r="D13" s="22" t="n">
        <f aca="false">MIN(1,$A13*$B$5*$B$9)</f>
        <v>0.162</v>
      </c>
      <c r="E13" s="22" t="n">
        <f aca="false">MIN(1,$A13*$B$6*$B$7)</f>
        <v>0.255</v>
      </c>
      <c r="F13" s="22" t="n">
        <f aca="false">MIN(1,$A13*$B$6*$B$8)</f>
        <v>0.17</v>
      </c>
      <c r="G13" s="22" t="n">
        <f aca="false">MIN(1,$A13*$B$6*$B$9)</f>
        <v>0.102</v>
      </c>
    </row>
    <row r="14" customFormat="false" ht="15" hidden="false" customHeight="false" outlineLevel="0" collapsed="false">
      <c r="A14" s="7" t="n">
        <v>0.3</v>
      </c>
      <c r="B14" s="22" t="n">
        <f aca="false">MIN(1,$A14*$B$5*$B$7)</f>
        <v>0.6075</v>
      </c>
      <c r="C14" s="22" t="n">
        <f aca="false">MIN(1,$A14*$B$5*$B$8)</f>
        <v>0.405</v>
      </c>
      <c r="D14" s="22" t="n">
        <f aca="false">MIN(1,$A14*$B$5*$B$9)</f>
        <v>0.243</v>
      </c>
      <c r="E14" s="22" t="n">
        <f aca="false">MIN(1,$A14*$B$6*$B$7)</f>
        <v>0.3825</v>
      </c>
      <c r="F14" s="22" t="n">
        <f aca="false">MIN(1,$A14*$B$6*$B$8)</f>
        <v>0.255</v>
      </c>
      <c r="G14" s="22" t="n">
        <f aca="false">MIN(1,$A14*$B$6*$B$9)</f>
        <v>0.153</v>
      </c>
    </row>
    <row r="15" customFormat="false" ht="15" hidden="false" customHeight="false" outlineLevel="0" collapsed="false">
      <c r="A15" s="7" t="n">
        <v>0.4</v>
      </c>
      <c r="B15" s="22" t="n">
        <f aca="false">MIN(1,$A15*$B$5*$B$7)</f>
        <v>0.81</v>
      </c>
      <c r="C15" s="22" t="n">
        <f aca="false">MIN(1,$A15*$B$5*$B$8)</f>
        <v>0.54</v>
      </c>
      <c r="D15" s="22" t="n">
        <f aca="false">MIN(1,$A15*$B$5*$B$9)</f>
        <v>0.324</v>
      </c>
      <c r="E15" s="22" t="n">
        <f aca="false">MIN(1,$A15*$B$6*$B$7)</f>
        <v>0.51</v>
      </c>
      <c r="F15" s="22" t="n">
        <f aca="false">MIN(1,$A15*$B$6*$B$8)</f>
        <v>0.34</v>
      </c>
      <c r="G15" s="22" t="n">
        <f aca="false">MIN(1,$A15*$B$6*$B$9)</f>
        <v>0.204</v>
      </c>
    </row>
    <row r="16" customFormat="false" ht="15" hidden="false" customHeight="false" outlineLevel="0" collapsed="false">
      <c r="A16" s="7" t="n">
        <v>0.5</v>
      </c>
      <c r="B16" s="22" t="n">
        <f aca="false">MIN(1,$A16*$B$5*$B$7)</f>
        <v>1</v>
      </c>
      <c r="C16" s="22" t="n">
        <f aca="false">MIN(1,$A16*$B$5*$B$8)</f>
        <v>0.675</v>
      </c>
      <c r="D16" s="22" t="n">
        <f aca="false">MIN(1,$A16*$B$5*$B$9)</f>
        <v>0.405</v>
      </c>
      <c r="E16" s="22" t="n">
        <f aca="false">MIN(1,$A16*$B$6*$B$7)</f>
        <v>0.6375</v>
      </c>
      <c r="F16" s="22" t="n">
        <f aca="false">MIN(1,$A16*$B$6*$B$8)</f>
        <v>0.425</v>
      </c>
      <c r="G16" s="22" t="n">
        <f aca="false">MIN(1,$A16*$B$6*$B$9)</f>
        <v>0.255</v>
      </c>
    </row>
    <row r="17" customFormat="false" ht="15" hidden="false" customHeight="false" outlineLevel="0" collapsed="false">
      <c r="A17" s="7" t="n">
        <v>0.6</v>
      </c>
      <c r="B17" s="22" t="n">
        <f aca="false">MIN(1,$A17*$B$5*$B$7)</f>
        <v>1</v>
      </c>
      <c r="C17" s="22" t="n">
        <f aca="false">MIN(1,$A17*$B$5*$B$8)</f>
        <v>0.81</v>
      </c>
      <c r="D17" s="22" t="n">
        <f aca="false">MIN(1,$A17*$B$5*$B$9)</f>
        <v>0.486</v>
      </c>
      <c r="E17" s="22" t="n">
        <f aca="false">MIN(1,$A17*$B$6*$B$7)</f>
        <v>0.765</v>
      </c>
      <c r="F17" s="22" t="n">
        <f aca="false">MIN(1,$A17*$B$6*$B$8)</f>
        <v>0.51</v>
      </c>
      <c r="G17" s="22" t="n">
        <f aca="false">MIN(1,$A17*$B$6*$B$9)</f>
        <v>0.306</v>
      </c>
    </row>
    <row r="18" customFormat="false" ht="15" hidden="false" customHeight="false" outlineLevel="0" collapsed="false">
      <c r="A18" s="7" t="n">
        <v>0.8</v>
      </c>
      <c r="B18" s="22" t="n">
        <f aca="false">MIN(1,$A18*$B$5*$B$7)</f>
        <v>1</v>
      </c>
      <c r="C18" s="22" t="n">
        <f aca="false">MIN(1,$A18*$B$5*$B$8)</f>
        <v>1</v>
      </c>
      <c r="D18" s="22" t="n">
        <f aca="false">MIN(1,$A18*$B$5*$B$9)</f>
        <v>0.648</v>
      </c>
      <c r="E18" s="22" t="n">
        <f aca="false">MIN(1,$A18*$B$6*$B$7)</f>
        <v>1</v>
      </c>
      <c r="F18" s="22" t="n">
        <f aca="false">MIN(1,$A18*$B$6*$B$8)</f>
        <v>0.68</v>
      </c>
      <c r="G18" s="22" t="n">
        <f aca="false">MIN(1,$A18*$B$6*$B$9)</f>
        <v>0.408</v>
      </c>
    </row>
    <row r="20" customFormat="false" ht="15" hidden="false" customHeight="false" outlineLevel="0" collapsed="false">
      <c r="A20" s="2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284</v>
      </c>
    </row>
    <row r="4" customFormat="false" ht="15" hidden="false" customHeight="false" outlineLevel="0" collapsed="false">
      <c r="A4" s="3" t="s">
        <v>285</v>
      </c>
      <c r="B4" s="3" t="s">
        <v>286</v>
      </c>
    </row>
    <row r="5" customFormat="false" ht="23.85" hidden="false" customHeight="false" outlineLevel="0" collapsed="false">
      <c r="A5" s="12" t="s">
        <v>287</v>
      </c>
      <c r="B5" s="12" t="s">
        <v>288</v>
      </c>
    </row>
    <row r="6" customFormat="false" ht="15" hidden="false" customHeight="false" outlineLevel="0" collapsed="false">
      <c r="A6" s="12" t="s">
        <v>289</v>
      </c>
      <c r="B6" s="12" t="s">
        <v>290</v>
      </c>
    </row>
    <row r="7" customFormat="false" ht="15" hidden="false" customHeight="false" outlineLevel="0" collapsed="false">
      <c r="A7" s="12" t="s">
        <v>291</v>
      </c>
      <c r="B7" s="12" t="s">
        <v>292</v>
      </c>
    </row>
    <row r="8" customFormat="false" ht="15" hidden="false" customHeight="false" outlineLevel="0" collapsed="false">
      <c r="A8" s="12" t="s">
        <v>293</v>
      </c>
      <c r="B8" s="12" t="s">
        <v>294</v>
      </c>
    </row>
    <row r="9" customFormat="false" ht="15" hidden="false" customHeight="false" outlineLevel="0" collapsed="false">
      <c r="A9" s="12" t="s">
        <v>295</v>
      </c>
      <c r="B9" s="12" t="s">
        <v>296</v>
      </c>
    </row>
    <row r="10" customFormat="false" ht="15" hidden="false" customHeight="false" outlineLevel="0" collapsed="false">
      <c r="A10" s="12" t="s">
        <v>297</v>
      </c>
      <c r="B10" s="12" t="s">
        <v>298</v>
      </c>
    </row>
    <row r="11" customFormat="false" ht="23.85" hidden="false" customHeight="false" outlineLevel="0" collapsed="false">
      <c r="A11" s="12" t="s">
        <v>299</v>
      </c>
      <c r="B11" s="12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2026-10-26T03:40:55Z</dcterms:created>
  <dc:creator>openpyxl</dc:creator>
  <dc:description/>
  <dc:language>en-US</dc:language>
  <cp:lastModifiedBy/>
  <dcterms:modified xsi:type="dcterms:W3CDTF">2026-10-26T03:40:55Z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